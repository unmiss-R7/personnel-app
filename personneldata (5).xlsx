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บรรจุ" sheetId="1" r:id="rId5"/>
    <sheet state="visible" name="นายทหาร" sheetId="2" r:id="rId6"/>
    <sheet state="visible" name="สำรอง" sheetId="3" r:id="rId7"/>
    <sheet state="visible" name="data" sheetId="4" r:id="rId8"/>
    <sheet state="visible" name="repatriation" sheetId="5" r:id="rId9"/>
    <sheet state="hidden" name="App Metadata" sheetId="6" r:id="rId10"/>
  </sheets>
  <definedNames>
    <definedName name="sec">'บรรจุ'!$R$1:$R$220</definedName>
    <definedName hidden="1" localSheetId="1" name="_xlnm._FilterDatabase">'นายทหาร'!$Q$1:$Q$28</definedName>
    <definedName hidden="1" localSheetId="2" name="_xlnm._FilterDatabase">'สำรอง'!$N$1:$N$43</definedName>
  </definedNames>
  <calcPr/>
</workbook>
</file>

<file path=xl/sharedStrings.xml><?xml version="1.0" encoding="utf-8"?>
<sst xmlns="http://schemas.openxmlformats.org/spreadsheetml/2006/main" count="6764" uniqueCount="3520">
  <si>
    <t>ลำดับ</t>
  </si>
  <si>
    <t>ยศ</t>
  </si>
  <si>
    <t>ยศ – ชื่อ,นามสกุล</t>
  </si>
  <si>
    <t>ชื่อ</t>
  </si>
  <si>
    <t>สกุล</t>
  </si>
  <si>
    <t>fullname</t>
  </si>
  <si>
    <t>Rank</t>
  </si>
  <si>
    <t>THAI-US ARMY RANKS</t>
  </si>
  <si>
    <t>Name</t>
  </si>
  <si>
    <t>Lastname</t>
  </si>
  <si>
    <t>หมายเลขประจำตัว</t>
  </si>
  <si>
    <t>หมายเลขประชาชน</t>
  </si>
  <si>
    <t>ส่วนงาน</t>
  </si>
  <si>
    <t>ตำแหน่งในสนาม</t>
  </si>
  <si>
    <t>ตำแหน่งปกติ</t>
  </si>
  <si>
    <t>ชั้นเงินเดือน</t>
  </si>
  <si>
    <t>กลุ่มเลือด</t>
  </si>
  <si>
    <t>หมายเหตุ</t>
  </si>
  <si>
    <t xml:space="preserve"> </t>
  </si>
  <si>
    <t>ศาสนา</t>
  </si>
  <si>
    <t>ยอดเต็ม</t>
  </si>
  <si>
    <t>ยศปัจจุบันเมื่อ</t>
  </si>
  <si>
    <t>ทหารชาย</t>
  </si>
  <si>
    <t>ทหารหญิง</t>
  </si>
  <si>
    <t>ทบ.</t>
  </si>
  <si>
    <t>สังกัด</t>
  </si>
  <si>
    <t>รูปภาพ</t>
  </si>
  <si>
    <t>บก.ทท.</t>
  </si>
  <si>
    <t>วัน เดือน ปี เกิด</t>
  </si>
  <si>
    <t>ทหารหญิง ทบ.</t>
  </si>
  <si>
    <t>ทหารหญิง ทท.</t>
  </si>
  <si>
    <t>กองบังคับการกองร้อย</t>
  </si>
  <si>
    <t>พ.ท.</t>
  </si>
  <si>
    <t>เบอร์ติดต่อ</t>
  </si>
  <si>
    <t>หมวดก่อสร้างทางระดับที่ 1</t>
  </si>
  <si>
    <t>วีระพงศ์</t>
  </si>
  <si>
    <t>อายุ</t>
  </si>
  <si>
    <t>จันทรศิริภาส</t>
  </si>
  <si>
    <t>เพศ</t>
  </si>
  <si>
    <t>ประเภท</t>
  </si>
  <si>
    <t>ชื่อเล่น</t>
  </si>
  <si>
    <t>หมวดก่อสร้างทางระดับที่ 2</t>
  </si>
  <si>
    <t>Line ID</t>
  </si>
  <si>
    <t>Email</t>
  </si>
  <si>
    <t>หมวดก่อสร้างทางดิ่ง</t>
  </si>
  <si>
    <t>ผู้บังคับบัญชา</t>
  </si>
  <si>
    <t>PASSPORT</t>
  </si>
  <si>
    <t>UN ID</t>
  </si>
  <si>
    <t>หมวดส่งกำลังบำรุง</t>
  </si>
  <si>
    <t>ตอนส่งกำลัง</t>
  </si>
  <si>
    <t>ตอนซ่อมบำรุง</t>
  </si>
  <si>
    <t>ส1</t>
  </si>
  <si>
    <t>ตอนสื่อสาร</t>
  </si>
  <si>
    <t>ตอนสูทกรรม</t>
  </si>
  <si>
    <t>ร.ท.หญิง</t>
  </si>
  <si>
    <t>ตอนยานยนต์</t>
  </si>
  <si>
    <t>ชฎามาศ</t>
  </si>
  <si>
    <t>ตอนเครื่องมือก่อสร้าง</t>
  </si>
  <si>
    <t>หมวดระวังป้องกันที่ 1</t>
  </si>
  <si>
    <t>พลอยไป</t>
  </si>
  <si>
    <t>หมวดระวังป้องกันที่ 2</t>
  </si>
  <si>
    <t>รพ.สนามระดับ 1</t>
  </si>
  <si>
    <t>LT COL</t>
  </si>
  <si>
    <t>Weerapong</t>
  </si>
  <si>
    <t>Jantarasiripas</t>
  </si>
  <si>
    <t>รวมนายทหาร</t>
  </si>
  <si>
    <t>นายทหารชาย</t>
  </si>
  <si>
    <t>นายทหารหญิง</t>
  </si>
  <si>
    <t>ผู้บังคับกองร้อย</t>
  </si>
  <si>
    <t>ฝอ.3 พัน.ช.คมศ.พล.ช.</t>
  </si>
  <si>
    <t>นายสิบชาย</t>
  </si>
  <si>
    <t>น.3 ชั้น 24 (40,560.-บาท)</t>
  </si>
  <si>
    <t>โอ</t>
  </si>
  <si>
    <t>กช.</t>
  </si>
  <si>
    <t>นายสิบหญิง</t>
  </si>
  <si>
    <t>น.3 ชั้น 26.5 (44130.-บาท)</t>
  </si>
  <si>
    <t>รวมนายสิบ</t>
  </si>
  <si>
    <t>พุทธ</t>
  </si>
  <si>
    <t>https://drive.google.com/file/d/1zPPkwGOYbgr53yUwiFdN1BUQi_5Vq1gP/view?usp=drivesdk</t>
  </si>
  <si>
    <t>https://drive.google.com/file/d/1oW903yndbyjMo_d0LEBXyHTtelkcu7tS/view?usp=drivesdk</t>
  </si>
  <si>
    <t>1LT</t>
  </si>
  <si>
    <t>Chadamas</t>
  </si>
  <si>
    <t>Ploypai</t>
  </si>
  <si>
    <t>ประจำ ผยก.กยก.นทพ.</t>
  </si>
  <si>
    <t>น.1 ชั้น 28 (21,880.- บาท)</t>
  </si>
  <si>
    <t>บี</t>
  </si>
  <si>
    <t>0644123555</t>
  </si>
  <si>
    <t>https://drive.google.com/file/d/1_R1UWXDTt-bLFMDkNOWQ6egi-UL_zGKg/view?usp=drivesdk</t>
  </si>
  <si>
    <t>พ.ต.</t>
  </si>
  <si>
    <t>นฤเบศร์</t>
  </si>
  <si>
    <t>บุญคุ้ม</t>
  </si>
  <si>
    <t>MAJ</t>
  </si>
  <si>
    <t>Narubase</t>
  </si>
  <si>
    <t>Boonkoom</t>
  </si>
  <si>
    <t>รองผู้บังคับกองร้อย</t>
  </si>
  <si>
    <t>อจ.รร.ช.กช.</t>
  </si>
  <si>
    <t>น.2 ชั้น 20.5 (29,110.-บาท)</t>
  </si>
  <si>
    <t>https://drive.google.com/file/d/1S3CLlWHF1W2CKAhcx_aTNcsmp2bIg3Cz/view?usp=drivesdk</t>
  </si>
  <si>
    <t>ชาย</t>
  </si>
  <si>
    <t>สัญญาบัตร</t>
  </si>
  <si>
    <t>เด่น</t>
  </si>
  <si>
    <t xml:space="preserve">Zodiak. </t>
  </si>
  <si>
    <t>dafil_45@hotmail.com</t>
  </si>
  <si>
    <t>OF2059313</t>
  </si>
  <si>
    <t>PKF-THAI-01235</t>
  </si>
  <si>
    <t>ส2</t>
  </si>
  <si>
    <t>จ.ส.อ.</t>
  </si>
  <si>
    <t>วรินทร</t>
  </si>
  <si>
    <t>เปลื้องไธสง</t>
  </si>
  <si>
    <t>ร.อ.</t>
  </si>
  <si>
    <t>พัฒนศักดิ์</t>
  </si>
  <si>
    <t>SM1</t>
  </si>
  <si>
    <t>บุญประเสริฐ</t>
  </si>
  <si>
    <t>Warinthorn</t>
  </si>
  <si>
    <t>Pluengthaisong</t>
  </si>
  <si>
    <t>CAPT</t>
  </si>
  <si>
    <t>Pattanasak</t>
  </si>
  <si>
    <t>Boonprasert</t>
  </si>
  <si>
    <t>เสมียน แผนกวิจัยและพัฒนา กฝศ.ศสภ.ทหาร</t>
  </si>
  <si>
    <t>น.2 ชั้น 22.5 (31340.-บาท)</t>
  </si>
  <si>
    <t>ป.2 ชั้น 34 (24,800.-บาท)</t>
  </si>
  <si>
    <t>นายทหารฝ่ายกำลังพล</t>
  </si>
  <si>
    <t>ผช.นสบ.พล.ช.</t>
  </si>
  <si>
    <t>น.1 ชั้น 36.5 (28,430.-บาท)</t>
  </si>
  <si>
    <t>https://drive.google.com/file/d/1cm8_towT3j0qlQu7AUxw7f4f9z2iCcbe/view?usp=drivesdk</t>
  </si>
  <si>
    <t>https://drive.google.com/file/d/14QY0CtmnKGbvlyefILBbjZ0LfhpY0uib/view?usp=drivesdk</t>
  </si>
  <si>
    <t>https://drive.google.com/file/d/1muyYxcXL9vIkJFUcKEI-bb2oU_bo2hyO/view?usp=drivesdk</t>
  </si>
  <si>
    <t>ครรชิต</t>
  </si>
  <si>
    <t>โสภาสาย</t>
  </si>
  <si>
    <t>Khanchit</t>
  </si>
  <si>
    <t>Soparsai</t>
  </si>
  <si>
    <t>นายทหารฝ่ายยุทธการและการข่าว</t>
  </si>
  <si>
    <t>น.2 ชั้น 21 (29,680.-บาท)</t>
  </si>
  <si>
    <t>https://drive.google.com/file/d/1xQe1yWUD-bFDnPCITzIy_Cyp7KB42JG9/view?usp=drivesdk</t>
  </si>
  <si>
    <t>ส3</t>
  </si>
  <si>
    <t>ร.ท.</t>
  </si>
  <si>
    <t>พนม</t>
  </si>
  <si>
    <t>เพียงกระโทก</t>
  </si>
  <si>
    <t>สอง</t>
  </si>
  <si>
    <t>Panom</t>
  </si>
  <si>
    <t>OF2047842</t>
  </si>
  <si>
    <t>Piangkratok</t>
  </si>
  <si>
    <t>PKF-THAI-01236</t>
  </si>
  <si>
    <t>นายทหารซ่อมบำรุงโทรโป ตอนซ่อมบำรุงโทรโป มว.โทรโปที่ 1 ร้อย.ปสพ.พัน.ส.บก.ทท.สส.ทหาร</t>
  </si>
  <si>
    <t>น.1 ชั้น 35 (26,990.-บาท)</t>
  </si>
  <si>
    <t>น.1 ชั้น 39 (30790.-บาท)</t>
  </si>
  <si>
    <t>วีรวัฒน์</t>
  </si>
  <si>
    <t>เลาอารีกิจ</t>
  </si>
  <si>
    <t>https://drive.google.com/file/d/1iTwUKaZsIZ13xdRB8wjHMfnjzZ1lGY3W/view?usp=drivesdk</t>
  </si>
  <si>
    <t>https://drive.google.com/file/d/16DS_1Jq0KkRsta8FoJ4oWP7T5oMw_IPU/view?usp=drivesdk</t>
  </si>
  <si>
    <t>Weerawat</t>
  </si>
  <si>
    <t>Lao-areekit</t>
  </si>
  <si>
    <t>นายทหารฝ่ายส่งกำลังบำรุง</t>
  </si>
  <si>
    <t>ประจำแผนก กคช.กช.</t>
  </si>
  <si>
    <t>น.1 ชั้น 35.5 (27,490.-บาท)</t>
  </si>
  <si>
    <t>เอ</t>
  </si>
  <si>
    <t>https://drive.google.com/file/d/1PnhvQxs118ehpP1G0_bhB_DlMWv_uBru/view?usp=drivesdk</t>
  </si>
  <si>
    <t>แก่ง</t>
  </si>
  <si>
    <t>@jane8675</t>
  </si>
  <si>
    <t>ทิพวรรณ</t>
  </si>
  <si>
    <t>pattanasak_1@hotmail.com</t>
  </si>
  <si>
    <t>OF2059361</t>
  </si>
  <si>
    <t>PKF-THAI-01237</t>
  </si>
  <si>
    <t>บุญหวา</t>
  </si>
  <si>
    <t>Tippawan</t>
  </si>
  <si>
    <t>Boonwha</t>
  </si>
  <si>
    <t>นายทหารฝ่ายการเงิน</t>
  </si>
  <si>
    <t>ประจำแผนกเงินเดือน กงด.กง.ทหาร</t>
  </si>
  <si>
    <t>https://drive.google.com/file/d/11JG5ke8DEkUEWqAD2yAVAS4juVTv42-6/view?usp=drivesdk</t>
  </si>
  <si>
    <t>ส4</t>
  </si>
  <si>
    <t>น.2 ชั้น 23.5 (32450.-บาท)</t>
  </si>
  <si>
    <t>จ.ส.อ</t>
  </si>
  <si>
    <t>วชิระ</t>
  </si>
  <si>
    <t>งามสมฤทธิ์</t>
  </si>
  <si>
    <t>https://drive.google.com/file/d/15qPR93JxJdhVpkq7eXVUDMwIqU-BjtMS/view?usp=drivesdk</t>
  </si>
  <si>
    <t>Wachira</t>
  </si>
  <si>
    <t>Ngamsomrit</t>
  </si>
  <si>
    <t>หน.ชุดวิทยุปลายทาง ชุดวิทยุปลายทาง ตอนวิทยุถ่ายทอด  มว.วิทยุถ่ายทอดที่ 1 ร้อย.ปสพ.พัน.ส.บก.ทท.สส.ทหาร</t>
  </si>
  <si>
    <t>ป.2 ชั้น 22 (17,270.-บาท)</t>
  </si>
  <si>
    <t>https://drive.google.com/file/d/1NojV82Zia51HKBajqwSxOTdAn19vqQsV/view?usp=drivesdk</t>
  </si>
  <si>
    <t>พัฐสรร</t>
  </si>
  <si>
    <t>อินนุช</t>
  </si>
  <si>
    <t>Patsun</t>
  </si>
  <si>
    <t>Innuch</t>
  </si>
  <si>
    <t>นายทหารพระธรรมนูญ</t>
  </si>
  <si>
    <t>ประจำแผนกบังคับคดี กคด.สธน.ทบ.</t>
  </si>
  <si>
    <t>น.1 ชั้น 43 (35,220.- บาท)</t>
  </si>
  <si>
    <t>เอ๋</t>
  </si>
  <si>
    <t>เอบี</t>
  </si>
  <si>
    <t>สธน.ทบ.</t>
  </si>
  <si>
    <t>OF2000140</t>
  </si>
  <si>
    <t>คริสต์</t>
  </si>
  <si>
    <t>PKF-THAI-01238</t>
  </si>
  <si>
    <t>ส5</t>
  </si>
  <si>
    <t>รัฐพล</t>
  </si>
  <si>
    <t>https://drive.google.com/file/d/1hzTJzc6v2Y6NIk-8LEgtLFbmmntrRqEV/view?usp=drivesdk</t>
  </si>
  <si>
    <t>วรรณขาม</t>
  </si>
  <si>
    <t>น.1 ชั้น 38 (29680.-บาท)</t>
  </si>
  <si>
    <t>https://drive.google.com/file/d/1IWny1kcxmjykdWtQLC4ioR8iPexn88R3/view?usp=drivesdk</t>
  </si>
  <si>
    <t>Rattapon</t>
  </si>
  <si>
    <t>Wannakam</t>
  </si>
  <si>
    <t>หน.ชุดวิทยุถ่ายทอดกลางทาง ชุดวิทยุถ่ายทอดกลางทาง  มว.วิทยุถ่ายทอดกลางทางร้อย.ปถท.พัน.ส.บก.ทท.สส.ทหาร</t>
  </si>
  <si>
    <t>ป.2 ชั้น 28 (20,950.-บาท)</t>
  </si>
  <si>
    <t>อิสลาม</t>
  </si>
  <si>
    <t>https://drive.google.com/file/d/1Kd52ZMH58RWcoU0lXcWyYQ20HiP1r-ju/view?usp=drivesdk</t>
  </si>
  <si>
    <t>คนอง</t>
  </si>
  <si>
    <t>คำปิว</t>
  </si>
  <si>
    <t>อ๋อง</t>
  </si>
  <si>
    <t>sgt.weerawat_aong</t>
  </si>
  <si>
    <t>aongsky@gmail.com</t>
  </si>
  <si>
    <t>OF2059874</t>
  </si>
  <si>
    <t>PKF-THAI-01239</t>
  </si>
  <si>
    <t>Kanong</t>
  </si>
  <si>
    <t>Kampiew</t>
  </si>
  <si>
    <t>อนุศาสนาจารย์</t>
  </si>
  <si>
    <t>น.1 38.5 (30220.-บาท)</t>
  </si>
  <si>
    <t>อศจ.รร.นส.ทบ.</t>
  </si>
  <si>
    <t>น.2 ชั้น 21.5 (30,220.- บาท)</t>
  </si>
  <si>
    <t>ยศ.ทบ.</t>
  </si>
  <si>
    <t>https://drive.google.com/file/d/13Ac_41z86j4UZAZWrJt6vsO64Y9ZbRuD/view?usp=drivesdk</t>
  </si>
  <si>
    <t>ส6</t>
  </si>
  <si>
    <t>บุญญฤทธิ์</t>
  </si>
  <si>
    <t>เรืองสูรย์</t>
  </si>
  <si>
    <t>https://drive.google.com/file/d/1-42ohfZpUglZ5a6Clqx5BGpGLtDMOme0/view?usp=drivesdk</t>
  </si>
  <si>
    <t>Boonyarit</t>
  </si>
  <si>
    <t>Rueangsoon</t>
  </si>
  <si>
    <t>หน.ชุดสร้างสาย ตอนโทรศัพท์ มว.สาย ร้อย.ปสน.พัน.ส.บก.ทท.สส.ทหาร</t>
  </si>
  <si>
    <t>ป.2 ชั้น 21 (16,650.-บาท)</t>
  </si>
  <si>
    <t>https://drive.google.com/file/d/1Q204J4FVWo_wR_cCzlAX8xp6odCgNRcG/view?usp=drivesdk</t>
  </si>
  <si>
    <t>หญิง</t>
  </si>
  <si>
    <t>ปรัชฌา</t>
  </si>
  <si>
    <t>อุบลรัตน์</t>
  </si>
  <si>
    <t>หยุย</t>
  </si>
  <si>
    <t>miyuki.yuii</t>
  </si>
  <si>
    <t>tippawan.bo@rtarf.mi.th</t>
  </si>
  <si>
    <t>OF2059415</t>
  </si>
  <si>
    <t>PKF-THAI-01240</t>
  </si>
  <si>
    <t>Pratcha</t>
  </si>
  <si>
    <t>U-bolrat</t>
  </si>
  <si>
    <t>ส7</t>
  </si>
  <si>
    <t>นายทหารประสานงาน</t>
  </si>
  <si>
    <t>จ.ท.หญิง</t>
  </si>
  <si>
    <t>ประจำแผนก ยก.ทบ.</t>
  </si>
  <si>
    <t>พิมพ์ชนก</t>
  </si>
  <si>
    <t>รังรักษ์</t>
  </si>
  <si>
    <t>น.2 ชั้น 24 (33,000.- บาท)</t>
  </si>
  <si>
    <t>ยก.ทบ.</t>
  </si>
  <si>
    <t>PO2</t>
  </si>
  <si>
    <t>Pimchanok</t>
  </si>
  <si>
    <t>Rungruk</t>
  </si>
  <si>
    <t>https://drive.google.com/file/d/1gutKKSt9cx9kJ71joBV4yXOWsUNCtQ76/view?usp=drivesdk</t>
  </si>
  <si>
    <t>เสมียน แผนกกำลังพล กธก.ศทท.สส.ทหาร</t>
  </si>
  <si>
    <t>ป.1 ชั้น 22.5 (12,330.-บาท)</t>
  </si>
  <si>
    <t>https://drive.google.com/file/d/1XjHncJHz9VLj05QpNgVnKrJj1II_pgWa/view?usp=drivesdk</t>
  </si>
  <si>
    <t>น.1 ชั้น 44.5 (36990.-บาท)</t>
  </si>
  <si>
    <t>https://drive.google.com/file/d/17PU3oxIQ2Qa9GisC58jyCE5Km-uqo3Cx/view?usp=drivesdk</t>
  </si>
  <si>
    <t>โต้ง</t>
  </si>
  <si>
    <t>tonic5688</t>
  </si>
  <si>
    <t>patsun1975@gmail.com</t>
  </si>
  <si>
    <t>OF2059279</t>
  </si>
  <si>
    <t>PKF-THAI-01241</t>
  </si>
  <si>
    <t>วิทยา</t>
  </si>
  <si>
    <t>ชารีรัตน์</t>
  </si>
  <si>
    <t>ส8</t>
  </si>
  <si>
    <t>จ.ส.อ.หญิง</t>
  </si>
  <si>
    <t>สุวรรณณี</t>
  </si>
  <si>
    <t>ชมเชย</t>
  </si>
  <si>
    <t>Wittaya</t>
  </si>
  <si>
    <t>Chareerut</t>
  </si>
  <si>
    <t>หน.กบ.ทบ.</t>
  </si>
  <si>
    <t>Suwannee</t>
  </si>
  <si>
    <t>Chomchoey</t>
  </si>
  <si>
    <t>น.3 ชั้น 22.5 (38,500.- บาท)</t>
  </si>
  <si>
    <t>จนท.ประจำห้องปฏิบัติการภาพ ตอนการภาพ ร้อย.บก.พัน.ส.บก.ทท.สส.ทหาร</t>
  </si>
  <si>
    <t>ป.2 ชั้น 22.5 (17,570.-บาท)</t>
  </si>
  <si>
    <t>กบ.ทบ.</t>
  </si>
  <si>
    <t>https://drive.google.com/file/d/1FTEZBhogUpykiUp65u6ujEfdYHfkIbAn/view?usp=drivesdk</t>
  </si>
  <si>
    <t>https://drive.google.com/file/d/1idTVF8LaLoblBV3-_anBWyIBRqFsdAJd/view?usp=drivesdk</t>
  </si>
  <si>
    <t>https://drive.google.com/file/d/1LNMkgj_QgnuJwl-zuvK8oOG97nPUL0vO/view?usp=drivesdk</t>
  </si>
  <si>
    <t>ส9</t>
  </si>
  <si>
    <t>อมรรัตน์</t>
  </si>
  <si>
    <t>จันทร์ยิด</t>
  </si>
  <si>
    <t>อธิราช</t>
  </si>
  <si>
    <t>Amornrat</t>
  </si>
  <si>
    <t>สีสุกงาม</t>
  </si>
  <si>
    <t>Junyied</t>
  </si>
  <si>
    <t>นอง</t>
  </si>
  <si>
    <t>Kanongtb1</t>
  </si>
  <si>
    <t>kanongtb1@gmail.com</t>
  </si>
  <si>
    <t>จนท.โปรแกรม แผนกโปรแกรม กพร.ศทส.สส.ทหาร</t>
  </si>
  <si>
    <t>OF2059309</t>
  </si>
  <si>
    <t>ป.2 ชั้น 25 (19,100.-บาท)</t>
  </si>
  <si>
    <t>PKF-THAI-01242</t>
  </si>
  <si>
    <t>Atirach</t>
  </si>
  <si>
    <t>Seesugngam</t>
  </si>
  <si>
    <t>น.1 ชั้น 34 (26,270.- บาท)</t>
  </si>
  <si>
    <t>https://drive.google.com/file/d/1C0RdH7sNRFoqgMH95ye5HzbQufuk4EMz/view?usp=drivesdk</t>
  </si>
  <si>
    <t>https://drive.google.com/file/d/1IbmDVcHv9AFDigFKjcfHw14RzC3Tcra6/view?usp=drivesdk</t>
  </si>
  <si>
    <t>น.3 ชั้น 22.5 (38500.-บาท)</t>
  </si>
  <si>
    <t>https://drive.google.com/file/d/1hW_TWr2vbOsIzr8-za1XObxpCNhccvI-/view?usp=drivesdk</t>
  </si>
  <si>
    <t>ส10</t>
  </si>
  <si>
    <t>ศศินี</t>
  </si>
  <si>
    <t>บรรเทา</t>
  </si>
  <si>
    <t>ร.อ.หญิง</t>
  </si>
  <si>
    <t>เกวลี</t>
  </si>
  <si>
    <t>เพ็ชรแก้ว</t>
  </si>
  <si>
    <t>Sasinee</t>
  </si>
  <si>
    <t>Banthao</t>
  </si>
  <si>
    <t>จนท.ปฏิบัติการ แผนกปฏิบัติการโทรคมนาคมที่ 1 กทค.ศทท.สส.ทหาร</t>
  </si>
  <si>
    <t>Kewalee</t>
  </si>
  <si>
    <t>Phetkaew</t>
  </si>
  <si>
    <t>ป.2 ชั้น 24.5 (18,790)</t>
  </si>
  <si>
    <t>ประจำแผนกปฏิบัติการ กปก.ศสภ.ยก.ทหาร</t>
  </si>
  <si>
    <t>น.1 ชั้น 27.5 (21,500.- บาท)</t>
  </si>
  <si>
    <t>https://drive.google.com/file/d/1NAalr6eH1eCym6OX5rNpLVRd_DdnONEf/view?usp=drivesdk</t>
  </si>
  <si>
    <t>บิ่น</t>
  </si>
  <si>
    <t>OF2031194</t>
  </si>
  <si>
    <t>PKF-THAI-01243</t>
  </si>
  <si>
    <t>https://drive.google.com/file/d/1NLCETsNgnR8Krsu_U2iE326IhVaqj1Dw/view?usp=drivesdk</t>
  </si>
  <si>
    <t>น.3 ชั้น 24.5 (41250.-บาท)</t>
  </si>
  <si>
    <t>https://drive.google.com/file/d/1lubT0KTTqniDhG6dgb2LN_OxRhCfwQlT/view?usp=drivesdk</t>
  </si>
  <si>
    <t>ส11</t>
  </si>
  <si>
    <t>ส.ท.</t>
  </si>
  <si>
    <t>พงศกร</t>
  </si>
  <si>
    <t>แก่โอ๊ก</t>
  </si>
  <si>
    <t>CPL.</t>
  </si>
  <si>
    <t>Phongsakon</t>
  </si>
  <si>
    <t xml:space="preserve">Kaeaok </t>
  </si>
  <si>
    <t>เมทิกา</t>
  </si>
  <si>
    <t>ต้น</t>
  </si>
  <si>
    <t>วงษ์ฤทธิ์</t>
  </si>
  <si>
    <t>นายสิบชิ้นส่วนสายช่าง</t>
  </si>
  <si>
    <t>OF2008894</t>
  </si>
  <si>
    <t>PKF-THAI-01244</t>
  </si>
  <si>
    <t>ป.1 ชั้น 15 (9,150.บาท)</t>
  </si>
  <si>
    <t>FLT.LT</t>
  </si>
  <si>
    <t>https://drive.google.com/file/d/1S881QquSKBjzYgDbnXESe3N4hRaeYMTS/view?usp=drivesdk</t>
  </si>
  <si>
    <t>น.1 ชั้น 36.5 (28430.-บาท)</t>
  </si>
  <si>
    <t>https://drive.google.com/file/d/1CIeMjBjkXsCZGnEBelhSLO_SCs4PWTDl/view?usp=drivesdk</t>
  </si>
  <si>
    <t>Maytika</t>
  </si>
  <si>
    <t>Wongrid</t>
  </si>
  <si>
    <t>นายทหารวิเคราะห์งบประมาณ สปช.ทหาร</t>
  </si>
  <si>
    <t>น.1 ชั้น 33.5 (25,890.- บาท)</t>
  </si>
  <si>
    <t>กอล์ฟ</t>
  </si>
  <si>
    <t>NIRVANA</t>
  </si>
  <si>
    <t>aseesugngam@gmail.com</t>
  </si>
  <si>
    <t>OF2059305</t>
  </si>
  <si>
    <t>ส12</t>
  </si>
  <si>
    <t>PKF-THAI-01099</t>
  </si>
  <si>
    <t>ส.อ.</t>
  </si>
  <si>
    <t>ธงไชย</t>
  </si>
  <si>
    <t>https://drive.google.com/file/d/1Q-NUoGE5pda2BU2sV1mTZSNSOMfjcEHD/view?usp=drivesdk</t>
  </si>
  <si>
    <t>สมศรี</t>
  </si>
  <si>
    <t>SGT</t>
  </si>
  <si>
    <t>Thongchai</t>
  </si>
  <si>
    <t>Somsri</t>
  </si>
  <si>
    <t>น.1 29 (22600.-บาท)</t>
  </si>
  <si>
    <t>รอง ผบ.หมู่</t>
  </si>
  <si>
    <t>ป.1/ 25.5 (13,820 บาท )</t>
  </si>
  <si>
    <t>https://drive.google.com/file/d/1JXFHvpEw4-tmuwvn-v6M0l8EdbU2_pCe/view?usp=drivesdk</t>
  </si>
  <si>
    <t>https://drive.google.com/file/d/17GoBlGLZLwr-NAG3dvXyyHNvklbh6QHX/view?usp=drivesdk</t>
  </si>
  <si>
    <t>กิฟท์</t>
  </si>
  <si>
    <t>กฤตยา</t>
  </si>
  <si>
    <t>wumingting</t>
  </si>
  <si>
    <t>แก้วเรียน</t>
  </si>
  <si>
    <t>kewalee.p777@gmail.com</t>
  </si>
  <si>
    <t>OF2059784</t>
  </si>
  <si>
    <t>PKF-THAI-01245</t>
  </si>
  <si>
    <t>น.ต.หญิง</t>
  </si>
  <si>
    <t>Krittaya</t>
  </si>
  <si>
    <t>Kaewrian</t>
  </si>
  <si>
    <t>SQN LDR</t>
  </si>
  <si>
    <t>ส13</t>
  </si>
  <si>
    <t>สุขสรรค์</t>
  </si>
  <si>
    <t>เมืองชุมพล</t>
  </si>
  <si>
    <t>น.2 20.5 (29110.-บาท)</t>
  </si>
  <si>
    <t>https://drive.google.com/file/d/1AUmkDdTJIUskv0wE9NI4GL3c96J1Pi53/view?usp=drivesdk</t>
  </si>
  <si>
    <t>Suksan</t>
  </si>
  <si>
    <t>Mueangchumphon</t>
  </si>
  <si>
    <t>https://drive.google.com/file/d/1iTdF1glELQ_kejotGx_RxPLDTLSRjTGR/view?usp=drivesdk</t>
  </si>
  <si>
    <t>จ่ากองร้อย พัน.นร.รร.ช.กช.</t>
  </si>
  <si>
    <t>ป.3 ชั้น 33.5 (34,680.-บาท)</t>
  </si>
  <si>
    <t>https://drive.google.com/file/d/1qAa5jtJEDT-Jb2vBfWCVlCNdX5lLjSL4/view?usp=drivesdk</t>
  </si>
  <si>
    <t>กิ๊บ</t>
  </si>
  <si>
    <t>nooogipzzy</t>
  </si>
  <si>
    <t>maytika.w@rtarf.mi.th</t>
  </si>
  <si>
    <t>จิรายุทธ</t>
  </si>
  <si>
    <t>OF2059417</t>
  </si>
  <si>
    <t>แก้วยอด</t>
  </si>
  <si>
    <t>PKF-THAI-01246</t>
  </si>
  <si>
    <t>Jirayut</t>
  </si>
  <si>
    <t>Kaewyod</t>
  </si>
  <si>
    <t>ผู้บังคับหมวด</t>
  </si>
  <si>
    <t>ผบ.มว.งานดิน ร้อย.ช.ก่อสร้าง ช.11 พัน.111</t>
  </si>
  <si>
    <t>น.1 ชั้น 26 (20,400.-บาท)</t>
  </si>
  <si>
    <t>https://drive.google.com/file/d/1kZRwOUMpvvhifWtonD_x5MYxkcvmMkFh/view?usp=drivesdk</t>
  </si>
  <si>
    <t>https://drive.google.com/file/d/1-BvJzfTaNScYNreRsDTPN201kPj1wqsm/view?usp=drivesdk</t>
  </si>
  <si>
    <t>ส14</t>
  </si>
  <si>
    <t>จ.ส.ท.</t>
  </si>
  <si>
    <t>อภิวัฒน์</t>
  </si>
  <si>
    <t>เหมือนแก้ว</t>
  </si>
  <si>
    <t>ไอ๊ซ์ซึ</t>
  </si>
  <si>
    <t>icekaewrian</t>
  </si>
  <si>
    <t>icekaewrian@gmail.com</t>
  </si>
  <si>
    <t>OF2059765</t>
  </si>
  <si>
    <t>PKF-THAI-01247</t>
  </si>
  <si>
    <t>สุเทพ</t>
  </si>
  <si>
    <t>พะเวก</t>
  </si>
  <si>
    <t>Sutep</t>
  </si>
  <si>
    <t>Pavek</t>
  </si>
  <si>
    <t>SM2</t>
  </si>
  <si>
    <t>Apiwat</t>
  </si>
  <si>
    <t>จ่ากองร้อย</t>
  </si>
  <si>
    <t>Mueankaew</t>
  </si>
  <si>
    <t>พลประจำรถตักบรรทุก ช.11 พัน.111</t>
  </si>
  <si>
    <t>จ่ากองร้อย บก.ร้อย.ร้อย.บก.ช.11</t>
  </si>
  <si>
    <t>ป.2 ชั้น 26 (19,720.-บาท)</t>
  </si>
  <si>
    <t>ป.3 ชั้น 36.5 (38170.-บาท)</t>
  </si>
  <si>
    <t>https://drive.google.com/file/d/1NZ02MsXixFPuDOTm2x6h-xN3h5XWg8P7/view?usp=drivesdk</t>
  </si>
  <si>
    <t>ทินกร</t>
  </si>
  <si>
    <t>พงษ์นฤนาถ</t>
  </si>
  <si>
    <t>Tinnakorn</t>
  </si>
  <si>
    <t>Pongnaruenat</t>
  </si>
  <si>
    <t>https://drive.google.com/file/d/1a6sQZh2d2iJnKiQvUdTTD1usIXATg0ki/view?usp=drivesdk</t>
  </si>
  <si>
    <t>นายทหารฝ่ายการส่งกำลังบำรุง</t>
  </si>
  <si>
    <t>น.1 ชั้น 30</t>
  </si>
  <si>
    <t>ทภ.1 (พล.ร.9)</t>
  </si>
  <si>
    <t>ส15</t>
  </si>
  <si>
    <t>ประทวน</t>
  </si>
  <si>
    <t>ทนกฤต</t>
  </si>
  <si>
    <t>ฮอลล์</t>
  </si>
  <si>
    <t>ครองชนม์</t>
  </si>
  <si>
    <t>08593339222</t>
  </si>
  <si>
    <t>Pavek27_@hotmail.com</t>
  </si>
  <si>
    <t>Thanakrit</t>
  </si>
  <si>
    <t>OF2059338</t>
  </si>
  <si>
    <t>Kongchon</t>
  </si>
  <si>
    <t>PKF-THAI-01248</t>
  </si>
  <si>
    <t>ชัยภัทร</t>
  </si>
  <si>
    <t>ช่างเครื่องจักร ร้อย.ช.ซบร.หนัก</t>
  </si>
  <si>
    <t>ทำทวี</t>
  </si>
  <si>
    <t>ป.2 ชั้น 27.5 (20,640.-บาท)</t>
  </si>
  <si>
    <t>Chaiyaphat</t>
  </si>
  <si>
    <t>Tamtavee</t>
  </si>
  <si>
    <t>https://drive.google.com/file/d/15KDzW8UMt1tLOsgMYN1VSKzagSkJ_2MA/view?usp=drivesdk</t>
  </si>
  <si>
    <t>https://drive.google.com/file/d/1nA4IaOiPkuKBewWpgueURUXjqv9e0hMQ/view?usp=drivesdk</t>
  </si>
  <si>
    <t>เสมียนกองร้อย/พลประจำ รยบ.ขนาดเบา 4x4 แบบ 51B</t>
  </si>
  <si>
    <t>นายสิบกำลังพล ร้อย.บก.ช.11</t>
  </si>
  <si>
    <t>ป.2 ชั้น 28 (20950.-บาท)</t>
  </si>
  <si>
    <t>0622267585</t>
  </si>
  <si>
    <t>https://drive.google.com/file/d/1q-XOz5JIWCny948j8Qihlj9J6FiuFwRB/view?usp=drivesdk</t>
  </si>
  <si>
    <t>สา</t>
  </si>
  <si>
    <t>sa310131</t>
  </si>
  <si>
    <t>chaiyaphat2531sa@gmail.com</t>
  </si>
  <si>
    <t>OF2059323</t>
  </si>
  <si>
    <t>ส16</t>
  </si>
  <si>
    <t>PKF-THAI-01249</t>
  </si>
  <si>
    <t>ส.ต.หญิง</t>
  </si>
  <si>
    <t>เลิศวรรธน์</t>
  </si>
  <si>
    <t>นรารัตน์</t>
  </si>
  <si>
    <t>ศรีสุวรรณ์</t>
  </si>
  <si>
    <t>พวงนวม</t>
  </si>
  <si>
    <t>PFC</t>
  </si>
  <si>
    <t>ภาสวิชญ์</t>
  </si>
  <si>
    <t>Nararat</t>
  </si>
  <si>
    <t>Puangnuam</t>
  </si>
  <si>
    <t>นิลพัฒน์</t>
  </si>
  <si>
    <t>Loedwat</t>
  </si>
  <si>
    <t>นายสิบกำลังพล</t>
  </si>
  <si>
    <t>Sresuwan</t>
  </si>
  <si>
    <t>เสมียน กชฝ.กช.</t>
  </si>
  <si>
    <t>ป.1 ชั้น 16 (9520.-บาท)</t>
  </si>
  <si>
    <t>รองผู้บังคับหมู่ ช.พัน.51</t>
  </si>
  <si>
    <t>ป.1 ชั้น 26.5 (14320.-บาท)</t>
  </si>
  <si>
    <t>Passawith</t>
  </si>
  <si>
    <t>Ninlapath</t>
  </si>
  <si>
    <t>https://drive.google.com/file/d/11nREyXEcQzcaE5ymQN6_ro5_yTV1fBmQ/view?usp=drivesdk</t>
  </si>
  <si>
    <t>https://drive.google.com/file/d/1-KeKejYCGl9_gmuTN20KSIB0VYkeOl3l/view?usp=drivesdk</t>
  </si>
  <si>
    <t>รอง ผบ.ร้อย.ช.คมศ.ที่ 2 พัน.ช.คมศ.พล.ช.</t>
  </si>
  <si>
    <t>https://drive.google.com/file/d/1qKytQPqcxPiE8pGPJT7WuwVraF4zw-Gb/view?usp=drivesdk</t>
  </si>
  <si>
    <t>อีฟ</t>
  </si>
  <si>
    <t>eiiviie</t>
  </si>
  <si>
    <t>nararat.pn@gmail.com</t>
  </si>
  <si>
    <t>OF2059329</t>
  </si>
  <si>
    <t>PKF-THAI-01100</t>
  </si>
  <si>
    <t>ศักดิ์ดา</t>
  </si>
  <si>
    <t>วลัยศรี</t>
  </si>
  <si>
    <t>Sakda</t>
  </si>
  <si>
    <t>Walaisri</t>
  </si>
  <si>
    <t>นายสิบการข่าว/พลประจำ รยบ.ขนาดเบา 4x4 แบบ 51B</t>
  </si>
  <si>
    <t>นายสิบธุรการ ฝกพ.พล.ช.</t>
  </si>
  <si>
    <t>https://drive.google.com/file/d/1DolbM2EDkg24KRa01lYAEpD706RGd8AA/view?usp=drivesdk</t>
  </si>
  <si>
    <t>ส17</t>
  </si>
  <si>
    <t>พัลลภ</t>
  </si>
  <si>
    <t>คงสุวรรณ</t>
  </si>
  <si>
    <t>เจษฎา</t>
  </si>
  <si>
    <t>Panlop</t>
  </si>
  <si>
    <t>ทิมฤกษ์</t>
  </si>
  <si>
    <t>kongsuwan</t>
  </si>
  <si>
    <t>นายสิบสำรวจงานก่อสร้างอาวุโส ร้อย.บก.ช.11</t>
  </si>
  <si>
    <t>ป.2 ชั้น 26.5 (20,030.-บาท)</t>
  </si>
  <si>
    <t>Chetsada</t>
  </si>
  <si>
    <t>Timloek</t>
  </si>
  <si>
    <t>https://drive.google.com/file/d/1XfVyipJ1nxehs7VVWM-1VIalMEaLxpix/view?usp=drivesdk</t>
  </si>
  <si>
    <t>ผบ.ร้อย.ช.ซบร.สนาม</t>
  </si>
  <si>
    <t xml:space="preserve">น.1 ชั้นเยียวยา 2.5 (41,930.-บาท) </t>
  </si>
  <si>
    <t>ณะ</t>
  </si>
  <si>
    <t>dawalai1989</t>
  </si>
  <si>
    <t>dawalai1989@gmail.com</t>
  </si>
  <si>
    <t>OF2059324</t>
  </si>
  <si>
    <t>PKF-THAI-01250</t>
  </si>
  <si>
    <t>ธีรัช</t>
  </si>
  <si>
    <t>วันดี</t>
  </si>
  <si>
    <t>https://drive.google.com/file/d/1tv-8n4KyuhZpuf8f2sj44AbnamSn8yxm/view?usp=drivesdk</t>
  </si>
  <si>
    <t>Thirath</t>
  </si>
  <si>
    <t>Wandee</t>
  </si>
  <si>
    <t>นายสิบยุทธการ</t>
  </si>
  <si>
    <t>เสมียนพิมพ์ดีด ฝขว.พล.ช.</t>
  </si>
  <si>
    <t>ป.1 ชั้น 27 (14560.-บาท)</t>
  </si>
  <si>
    <t>https://drive.google.com/file/d/1eC6u9A51mWwoRPXEBSg8l4lTF62-o1el/view?usp=drivesdk</t>
  </si>
  <si>
    <t>ส18</t>
  </si>
  <si>
    <t>อาคม</t>
  </si>
  <si>
    <t>สวนผึ้ง</t>
  </si>
  <si>
    <t>Akom</t>
  </si>
  <si>
    <t>Suanphueng</t>
  </si>
  <si>
    <t>พลประจำรถบด</t>
  </si>
  <si>
    <t>ป.2 ชั้น 25.5 (19,420.-บาท)</t>
  </si>
  <si>
    <t>เนม</t>
  </si>
  <si>
    <t>OF2059275</t>
  </si>
  <si>
    <t>PKF-THAI-01251</t>
  </si>
  <si>
    <t>https://drive.google.com/file/d/1WAW5TcZhdEhLEnM7YN9lUqC3aOAfy7V9/view?usp=drivesdk</t>
  </si>
  <si>
    <t>ฐิติวุฒิ</t>
  </si>
  <si>
    <t>ถมยา</t>
  </si>
  <si>
    <t>สุทธิพงษ์</t>
  </si>
  <si>
    <t>ทิพธามา</t>
  </si>
  <si>
    <t>Thitiwut</t>
  </si>
  <si>
    <t>Tomya</t>
  </si>
  <si>
    <t>ผู้ช่วยนายสิบยุทธการ/พลประจำ รยบ.ขนาดเบา 4x4 แบบ 51B</t>
  </si>
  <si>
    <t>เสมียน กยข.กช.</t>
  </si>
  <si>
    <t>Sutthiphong</t>
  </si>
  <si>
    <t>ป.3 ชั้น 34.5 (35810.-บาท)</t>
  </si>
  <si>
    <t>Thipthama</t>
  </si>
  <si>
    <t>รองผู้บังคับหมวด</t>
  </si>
  <si>
    <t>https://drive.google.com/file/d/1lhjlj1c485lSYyY5R5Qe7bdEGKYEZfTs/view?usp=drivesdk</t>
  </si>
  <si>
    <t>น.1 ชั้น 26.5 (20,770.-บาท)</t>
  </si>
  <si>
    <t>https://drive.google.com/file/d/17buBw8ZMxWPfuoe2fhw-h8vkkrrbKKUA/view?usp=drivesdk</t>
  </si>
  <si>
    <t>ต้อม (ย้อย)</t>
  </si>
  <si>
    <t>YOY2737</t>
  </si>
  <si>
    <t>thitiwut2737@gmail.com</t>
  </si>
  <si>
    <t>OF2059343</t>
  </si>
  <si>
    <t>PKF-THAI-01252</t>
  </si>
  <si>
    <t>ส19</t>
  </si>
  <si>
    <t>ส.อ.หญิง</t>
  </si>
  <si>
    <t>ญาณกร</t>
  </si>
  <si>
    <t>สิทธิเดช</t>
  </si>
  <si>
    <t>สุรารักษ์</t>
  </si>
  <si>
    <t>ชะเอม</t>
  </si>
  <si>
    <t>Yanakorn</t>
  </si>
  <si>
    <t>Surarak</t>
  </si>
  <si>
    <t>นายสิบส่งกำลังบำรุง</t>
  </si>
  <si>
    <t>Sittideh</t>
  </si>
  <si>
    <t>เสมียน กคช.กช.</t>
  </si>
  <si>
    <t>Cha-em</t>
  </si>
  <si>
    <t>ป.1 ชั้น 27.5 (14810.-บาท)</t>
  </si>
  <si>
    <t>พลขับรถบรรทุกหนัก พัน.ช.คมศ.พล.ช.</t>
  </si>
  <si>
    <t>https://drive.google.com/file/d/1moTJnpcvPohVSueg2tu1TIng5Rpjtb-I/view?usp=drivesdk</t>
  </si>
  <si>
    <t>https://drive.google.com/file/d/1k_FfWJbSc2dIKqVZuqlJ__uhwC55Gpqo/view?usp=drivesdk</t>
  </si>
  <si>
    <t>เอกพล</t>
  </si>
  <si>
    <t>เมฆประสาท</t>
  </si>
  <si>
    <t>Eakkapon</t>
  </si>
  <si>
    <t>Makprasat</t>
  </si>
  <si>
    <t>มุก</t>
  </si>
  <si>
    <t>mookmik26</t>
  </si>
  <si>
    <t>mookmikza36@gmail.com</t>
  </si>
  <si>
    <t>OF2059340</t>
  </si>
  <si>
    <t>PKF-THAI-01101</t>
  </si>
  <si>
    <t>ผู้บังคับตอน</t>
  </si>
  <si>
    <t>จิรวัฒน์</t>
  </si>
  <si>
    <t>แตงจั่น</t>
  </si>
  <si>
    <t>Jirawat</t>
  </si>
  <si>
    <t>Taengjun</t>
  </si>
  <si>
    <t>ผบ.ตอน ตอนสร้างสายโถงและสายเคเบิล ร้อย.บก.พัน.ส.
 บก.ทท.สส.ทหาร</t>
  </si>
  <si>
    <t>ผู้ช่วยนายสิบส่งกำลังบำรุง/พลประจำ รยบ.ขนาดเบา 4x4 แบบ 51B</t>
  </si>
  <si>
    <t>เสมียน กกบ.กช.</t>
  </si>
  <si>
    <t>น.1 ชั้น 45 (37,580.-บาท)</t>
  </si>
  <si>
    <t>https://drive.google.com/file/d/1SkNaWNMQDzfVATQvHoAN0m3h1IZl9kWj/view?usp=drivesdk</t>
  </si>
  <si>
    <t>ส20</t>
  </si>
  <si>
    <t>ศรัณย์รัฏ</t>
  </si>
  <si>
    <t>อร่ามเกลื้อ</t>
  </si>
  <si>
    <t>Sarunrat</t>
  </si>
  <si>
    <t>Aramkeue</t>
  </si>
  <si>
    <t>เสมียน ผธก.กช.</t>
  </si>
  <si>
    <t>ป.2 ชั้น 27(20,330.-บาท)</t>
  </si>
  <si>
    <t>https://drive.google.com/file/d/1L1t_sE6iIhJ4l8Nl_K9j5vZz3qMKHZvw/view?usp=drivesdk</t>
  </si>
  <si>
    <t>https://drive.google.com/file/d/1eh9mTsqI_tAXJKFk3byvt-PIyFNeMFfV/view?usp=drivesdk</t>
  </si>
  <si>
    <t>เต้</t>
  </si>
  <si>
    <t>taecom14</t>
  </si>
  <si>
    <t>jirawattae35@gmail.com</t>
  </si>
  <si>
    <t>OF2059342</t>
  </si>
  <si>
    <t>PKF-THAI-01253</t>
  </si>
  <si>
    <t>ส.ท.หญิง</t>
  </si>
  <si>
    <t>วรวรรณ</t>
  </si>
  <si>
    <t>ฐานะ</t>
  </si>
  <si>
    <t>CPL</t>
  </si>
  <si>
    <t>Worawan</t>
  </si>
  <si>
    <t>Thana</t>
  </si>
  <si>
    <t>ผู้ช่วยนายสิบส่งกำลังบำรุง</t>
  </si>
  <si>
    <t>ป.1 ชั้น 23.5 (12810.-บาท)</t>
  </si>
  <si>
    <t>https://drive.google.com/file/d/1xMJxCMusvPJttNEw87lVYs6mlbCRRc_w/view?usp=drivesdk</t>
  </si>
  <si>
    <t>ร.ต.</t>
  </si>
  <si>
    <t>สหภาพ</t>
  </si>
  <si>
    <t>แววงาม</t>
  </si>
  <si>
    <t>ส21</t>
  </si>
  <si>
    <t>2LT</t>
  </si>
  <si>
    <t>อิสระ</t>
  </si>
  <si>
    <t>Sahapap</t>
  </si>
  <si>
    <t>Waewngam</t>
  </si>
  <si>
    <t>พระอนงค์</t>
  </si>
  <si>
    <t>หัวหน้าชุดเครือข่ายและดาวเทียม</t>
  </si>
  <si>
    <t>นายทหารโทรศัพท์ ตอนโทรศัพท์ มว.สาย ร้อย.ปสล.พัน.ส.บก.ทท.สส.ทหาร</t>
  </si>
  <si>
    <t>Itsara</t>
  </si>
  <si>
    <t>น.1 ชั้น 32.0 (24,800.-บาท)</t>
  </si>
  <si>
    <t>เปรี้ยว</t>
  </si>
  <si>
    <t>@worawan555</t>
  </si>
  <si>
    <t>pauw.mini@gmail.com</t>
  </si>
  <si>
    <t>OF2059344</t>
  </si>
  <si>
    <t>Praanong</t>
  </si>
  <si>
    <t>PKF-THAI-01102</t>
  </si>
  <si>
    <t>ณิชากร</t>
  </si>
  <si>
    <t>พลขับ</t>
  </si>
  <si>
    <t>ล้ำสุขดี</t>
  </si>
  <si>
    <t>https://drive.google.com/file/d/1Mkf6LJGl2QvZQY1P9Jd6w3O6xlh7xRnV/view?usp=drivesdk</t>
  </si>
  <si>
    <t>Nichakorn</t>
  </si>
  <si>
    <t>Lamsukdee</t>
  </si>
  <si>
    <t>นายสิบกิจการพลเรือน</t>
  </si>
  <si>
    <t>https://drive.google.com/file/d/1Q6d28M4HeI-aLtr4cOZHtypyjyrE1hxL/view?usp=drivesdk</t>
  </si>
  <si>
    <t>ป.1 ชั้น 15.5 (9330.-บาท)</t>
  </si>
  <si>
    <t>https://drive.google.com/file/d/157ZfdxI1mpvgX2QNkDC4TXSY-bQB6-jZ/view?usp=drivesdk</t>
  </si>
  <si>
    <t>พงศ์พิทูร</t>
  </si>
  <si>
    <t>ศักดาชาญสวัสดิ์</t>
  </si>
  <si>
    <t>อันดา</t>
  </si>
  <si>
    <t>andanichakon</t>
  </si>
  <si>
    <t>nichakornlamsukdee@gmail.com</t>
  </si>
  <si>
    <t>OF2059334</t>
  </si>
  <si>
    <t>ส22</t>
  </si>
  <si>
    <t>PKF-THAI-01103</t>
  </si>
  <si>
    <t>จ.ส.ต.</t>
  </si>
  <si>
    <t>ณิชา</t>
  </si>
  <si>
    <t>โพธิเงิน</t>
  </si>
  <si>
    <t>กิติศักดิ์</t>
  </si>
  <si>
    <t>Pongpitoon</t>
  </si>
  <si>
    <t>Sakdachansawat</t>
  </si>
  <si>
    <t>ทองคำ</t>
  </si>
  <si>
    <t>Nicha</t>
  </si>
  <si>
    <t>Phongern</t>
  </si>
  <si>
    <t>นายสิบการเงิน</t>
  </si>
  <si>
    <t>ผู้บังคับหมวดระวังป้องกันที่ 1</t>
  </si>
  <si>
    <t>เสมียนการเงินและการบัญชี ผกง.กช.</t>
  </si>
  <si>
    <t>ป.1 ชั้น 25.5 (13820.-บาท)</t>
  </si>
  <si>
    <t>SM3</t>
  </si>
  <si>
    <t>รอง ผบ.ร้อย.อวบ. ร.111 พัน.2</t>
  </si>
  <si>
    <t>Kitisak</t>
  </si>
  <si>
    <t>Thongkham</t>
  </si>
  <si>
    <t>https://drive.google.com/file/d/1UZP49VkAdO8yrwQdgFpqNd7quU8fnTRP/view?usp=drivesdk</t>
  </si>
  <si>
    <t>น.1 ชั้น 26.5 (20,770 บ.)</t>
  </si>
  <si>
    <t>ป.2 ขั้น 24 (18,480 บาท)</t>
  </si>
  <si>
    <t>ทภ.1 (พล.ร.11)</t>
  </si>
  <si>
    <t>https://drive.google.com/file/d/1VH1RtWpmaxRKR44uFjv7SSWa09c7LorY/view?usp=drivesdk</t>
  </si>
  <si>
    <t>https://drive.google.com/file/d/1SKyaYnYjtJHWEDAqZx59BcoHWJPOT4zG/view?usp=drivesdk</t>
  </si>
  <si>
    <t>beebee0904</t>
  </si>
  <si>
    <t>beebeenicha9@gmail.com</t>
  </si>
  <si>
    <t>OF2025505</t>
  </si>
  <si>
    <t>PKF-THAI-01104</t>
  </si>
  <si>
    <t>อัครพงศ์</t>
  </si>
  <si>
    <t>ศิลปกิจ</t>
  </si>
  <si>
    <t>Arkarapong</t>
  </si>
  <si>
    <t>Sinrapagit</t>
  </si>
  <si>
    <t>นายสิบสื่อโสตทัศน์ และสื่อวิดีทัศน์</t>
  </si>
  <si>
    <t>ช่างภาพ กกร.กช.</t>
  </si>
  <si>
    <t>https://drive.google.com/file/d/1Rss1c_7-5622o2SfwOvX6LN0Rj0j_AWZ/view?usp=drivesdk</t>
  </si>
  <si>
    <t>ส23</t>
  </si>
  <si>
    <t>รณชิต</t>
  </si>
  <si>
    <t>กระต่ายทอง</t>
  </si>
  <si>
    <t>เกริกพงษ์</t>
  </si>
  <si>
    <t>พิทักษ์สกุลหงส์</t>
  </si>
  <si>
    <t>Krerkpong</t>
  </si>
  <si>
    <t>Pitaksakulhong</t>
  </si>
  <si>
    <t>Ronnachit</t>
  </si>
  <si>
    <t>Krataithong</t>
  </si>
  <si>
    <t>เบนซ์</t>
  </si>
  <si>
    <t>Benz9941</t>
  </si>
  <si>
    <t>foxsilverclass@gmail.com</t>
  </si>
  <si>
    <t>OF2059317</t>
  </si>
  <si>
    <t>PKF-THAI-01254</t>
  </si>
  <si>
    <t>รอง ผบ.ร้อย.ร.ร.112 พัน.1</t>
  </si>
  <si>
    <t>นายสิบการสร้างสะพาน</t>
  </si>
  <si>
    <t>ป.1 ชั้น 27.5</t>
  </si>
  <si>
    <t>น.1 ชั้น 28.5 (22,230 บ.)</t>
  </si>
  <si>
    <t>ณัฐกมล</t>
  </si>
  <si>
    <t>มงคล</t>
  </si>
  <si>
    <t>https://drive.google.com/file/d/1GfBlwvkQNrduJ_ynLXBLcRYw29gqgJ8Z/view?usp=drivesdk</t>
  </si>
  <si>
    <t>Nattakamon</t>
  </si>
  <si>
    <t>Mongkon</t>
  </si>
  <si>
    <t>065-5353553</t>
  </si>
  <si>
    <t>https://drive.google.com/file/d/1TguGhJYtACdd4IebkKvl2d78G2pFWEbK/view?usp=drivesdk</t>
  </si>
  <si>
    <t>https://drive.google.com/file/d/1Rli-QK-c9-mVCmp5LNboExLKn_IVYY2_/view?usp=drivesdk</t>
  </si>
  <si>
    <t>ส24</t>
  </si>
  <si>
    <t>กวาง</t>
  </si>
  <si>
    <t>kwang-s125</t>
  </si>
  <si>
    <t>kwang.mongkon10@gmail.com</t>
  </si>
  <si>
    <t>ธนพล</t>
  </si>
  <si>
    <t>OF2059331</t>
  </si>
  <si>
    <t>นาคปิ่น</t>
  </si>
  <si>
    <t>PKF-THAI-01105</t>
  </si>
  <si>
    <t>กฤตนันท์</t>
  </si>
  <si>
    <t>เบญจมาส</t>
  </si>
  <si>
    <t>จันทร์อยู่</t>
  </si>
  <si>
    <t>มหาชัย</t>
  </si>
  <si>
    <t>SM.2</t>
  </si>
  <si>
    <t>Benjamas</t>
  </si>
  <si>
    <t>Mahachai</t>
  </si>
  <si>
    <t>Krittanan</t>
  </si>
  <si>
    <t>Thanapol</t>
  </si>
  <si>
    <t>Chanyou</t>
  </si>
  <si>
    <t>นายสิบประสานงาน</t>
  </si>
  <si>
    <t>Nakpin</t>
  </si>
  <si>
    <t>เสมียน แผนกวิชาการและห้องสมุด กฝศ.ศสภ.ยก.ทหาร</t>
  </si>
  <si>
    <t>ป.1 28 (15060.-บาท)</t>
  </si>
  <si>
    <t>นายแพทย์</t>
  </si>
  <si>
    <t>ผบ.หมู่.ปล.</t>
  </si>
  <si>
    <t>ผบ.มว.สร.ร้อย.บก.ร.14 พัน.3</t>
  </si>
  <si>
    <t>ป.2 ชั้น 24 (18,480 บาท)</t>
  </si>
  <si>
    <t>น.1 ชั้น 28.5 (22,230.- บาท)</t>
  </si>
  <si>
    <t>https://drive.google.com/file/d/1_GT9xjvzkwoWYMFXNl9gum2IYNcL1QLZ/view?usp=drivesdk</t>
  </si>
  <si>
    <t>พบ.</t>
  </si>
  <si>
    <t>https://drive.google.com/file/d/14cDtZ_81WN6xiWidSUXnmliALhn501WH/view?usp=drivesdk</t>
  </si>
  <si>
    <t>https://drive.google.com/file/d/1e39zL_3vXYfnZOud5hTQQG-SZzmFqM6u/view?usp=drivesdk</t>
  </si>
  <si>
    <t>ติ๋ว</t>
  </si>
  <si>
    <t>-</t>
  </si>
  <si>
    <t>benjamas.m@rtarf.mi.th</t>
  </si>
  <si>
    <t>OF2023804</t>
  </si>
  <si>
    <t>PKF-THAI-01255</t>
  </si>
  <si>
    <t>อรพรรณ</t>
  </si>
  <si>
    <t>ทัพชัย</t>
  </si>
  <si>
    <t>Orapan</t>
  </si>
  <si>
    <t>Thupchai</t>
  </si>
  <si>
    <t>เสมียน ยก.ทบ.</t>
  </si>
  <si>
    <t>ป.1 ชั้น 28 (15060.-บาท)</t>
  </si>
  <si>
    <t>https://drive.google.com/file/d/1kW4Ym_bqReizVSubZvHJRYQKnrOmXLRD/view?usp=drivesdk</t>
  </si>
  <si>
    <t>ส25</t>
  </si>
  <si>
    <t>ไพศาล</t>
  </si>
  <si>
    <t>ผูกจิตต์</t>
  </si>
  <si>
    <t>สถิรชนม์</t>
  </si>
  <si>
    <t>รัตนโชคธรณี</t>
  </si>
  <si>
    <t>Paisan</t>
  </si>
  <si>
    <t>Sathirachon</t>
  </si>
  <si>
    <t>Ratanachokthorani</t>
  </si>
  <si>
    <t>Pugjit</t>
  </si>
  <si>
    <t>ผบ.มว.สร.ร้อย.บก.ร.152 พัน.2</t>
  </si>
  <si>
    <t>หน.ชุด หมู่ ปล.มว.ปล.</t>
  </si>
  <si>
    <t>ป.1 ชั้น 25 (13,570บ.)</t>
  </si>
  <si>
    <t>https://drive.google.com/file/d/1VRda3QoaZynuOw2yT552ymE2hO41Jfxf/view?usp=drivesdk</t>
  </si>
  <si>
    <t>https://drive.google.com/file/d/1XJtXwE8O8jk__skOLDW97BDDCyIgqY2b/view?usp=drivesdk</t>
  </si>
  <si>
    <t>bbcoolgirl</t>
  </si>
  <si>
    <t>orapancool@outlook.com</t>
  </si>
  <si>
    <t>OF2059760</t>
  </si>
  <si>
    <t>PKF-THAI-01256</t>
  </si>
  <si>
    <t>พิภพ</t>
  </si>
  <si>
    <t>หนูผาสุข</t>
  </si>
  <si>
    <t>ส26</t>
  </si>
  <si>
    <t>พ.ท.หญิง</t>
  </si>
  <si>
    <t>วารุณี</t>
  </si>
  <si>
    <t>บารมี</t>
  </si>
  <si>
    <t>โพธา</t>
  </si>
  <si>
    <t>หรีกประโคน</t>
  </si>
  <si>
    <t>Pipob</t>
  </si>
  <si>
    <t>Baramee</t>
  </si>
  <si>
    <t>Noophasuk</t>
  </si>
  <si>
    <t>Reekprakhon</t>
  </si>
  <si>
    <t>พลขับรถ รยบ.4x4 ฟอร์จูนเนอร์</t>
  </si>
  <si>
    <t>เสมียนกองร้อย บก.ร้อย.ร้อย.บก.พัน.ช.คมศ.พล.ช.</t>
  </si>
  <si>
    <t>หน.ชุดยิง หมู่ ปล.มว.ปล.ร้อย.ร.ร.112 พัน.3</t>
  </si>
  <si>
    <t>Warunee</t>
  </si>
  <si>
    <t>ป.1 ชั้น 26 (14,060 บ.)</t>
  </si>
  <si>
    <t>Potha</t>
  </si>
  <si>
    <t>นายทหารพยาบาล</t>
  </si>
  <si>
    <t>https://drive.google.com/file/d/1fyWDUyZEhX-Yve47sNLRLPDYCQzF6Ee-/view?usp=drivesdk</t>
  </si>
  <si>
    <t>ประจำ สลก.ทบ. ชรก.กกบ.ทภ.1</t>
  </si>
  <si>
    <t>https://drive.google.com/file/d/1uuxhg4DY7HILOZYdmHibG6qWxkYiLW4b/view?usp=drivesdk</t>
  </si>
  <si>
    <t>น.3 ชั้น 23.5(39,880)</t>
  </si>
  <si>
    <t>https://drive.google.com/file/d/19RQ8E8OYRZko11gCzaszZ1w_u3nIQYIy/view?usp=drivesdk</t>
  </si>
  <si>
    <t>โอ๊ต</t>
  </si>
  <si>
    <t>1709900853298</t>
  </si>
  <si>
    <t>love_pipob@hotmail.com</t>
  </si>
  <si>
    <t>OF2059318</t>
  </si>
  <si>
    <t>PKF-THAI-01106</t>
  </si>
  <si>
    <t>ส27</t>
  </si>
  <si>
    <t>เทพสถาพร</t>
  </si>
  <si>
    <t>น.1 ชั้น 28.5 (22230.-บาท)</t>
  </si>
  <si>
    <t>อยู่แก้ว</t>
  </si>
  <si>
    <t>นพกร</t>
  </si>
  <si>
    <t>https://drive.google.com/file/d/1xlwpyq3S4v3QfjRViU6gcW9wm5WJpXSk/view?usp=drivesdk</t>
  </si>
  <si>
    <t>Thepsathaporn</t>
  </si>
  <si>
    <t>Yukaew</t>
  </si>
  <si>
    <t>Arkom</t>
  </si>
  <si>
    <t>Noppakorn</t>
  </si>
  <si>
    <t>พลยิงปืนกล บก.มว.ป้องกัน ร้อย.บก.พล.ร.11</t>
  </si>
  <si>
    <t>ป.1 ชั้น 27.5 (14,810 บ.)</t>
  </si>
  <si>
    <t>พยาบาล รพ.ค่ายนวมินทราชินี</t>
  </si>
  <si>
    <t>https://drive.google.com/file/d/1JXi7hK7DTtRVoKrvAYw4u1iBif56lWVf/view?usp=drivesdk</t>
  </si>
  <si>
    <t>https://drive.google.com/file/d/1ggv4z6_Sl68U3jZ7HZoNqyqU7-ZmNXio/view?usp=drivesdk</t>
  </si>
  <si>
    <t>เบส</t>
  </si>
  <si>
    <t>OF2059281</t>
  </si>
  <si>
    <t>PKF-THAI-01257</t>
  </si>
  <si>
    <t>นุกูล</t>
  </si>
  <si>
    <t>ปิ่นแก้ว</t>
  </si>
  <si>
    <t>Nukool</t>
  </si>
  <si>
    <t>Pinkaew</t>
  </si>
  <si>
    <t>เบอร์โทร ผบช.</t>
  </si>
  <si>
    <t>นายงานเครื่องมือก่อสร้าง ช.11 พัน.111</t>
  </si>
  <si>
    <t>ป.3 ชั้น 36 (37580.-บาท)</t>
  </si>
  <si>
    <t>ส28</t>
  </si>
  <si>
    <t>https://drive.google.com/file/d/1StTKFLPPjjHWjowf1Yk_N9Y_Rv7n6uji/view?usp=drivesdk</t>
  </si>
  <si>
    <t>ศุภกานต์</t>
  </si>
  <si>
    <t>ขุนทรง</t>
  </si>
  <si>
    <t xml:space="preserve">2LT </t>
  </si>
  <si>
    <t>มนตรี</t>
  </si>
  <si>
    <t>Supakarn</t>
  </si>
  <si>
    <t>รสจันทร์</t>
  </si>
  <si>
    <t>Khunsong</t>
  </si>
  <si>
    <t>ศัลยแพทย์ พัน.สร  พล.ร.9</t>
  </si>
  <si>
    <t>กุล</t>
  </si>
  <si>
    <t>0800146550</t>
  </si>
  <si>
    <t>nukoolpinkeaw@gmail.com</t>
  </si>
  <si>
    <t>OF2059319</t>
  </si>
  <si>
    <t>PKF-THAI-01107</t>
  </si>
  <si>
    <t>https://drive.google.com/file/d/1CuzfpnsZsojZJXzJlgOMZtps0cOQg5Dl/view?usp=drivesdk</t>
  </si>
  <si>
    <t>สุวิทย์</t>
  </si>
  <si>
    <t>ชัยโย</t>
  </si>
  <si>
    <t>Suwit</t>
  </si>
  <si>
    <t>Chaiyo</t>
  </si>
  <si>
    <t>นายสิบประจำหมวด/พลวิทยุ</t>
  </si>
  <si>
    <t>ครูผู้ช่วย รร.ช.กช.</t>
  </si>
  <si>
    <t>ป.3 ชั้น 29 (29680.-บาท)</t>
  </si>
  <si>
    <t>https://drive.google.com/file/d/1Ii1bfFTOVSjX_0_FxzeR8obbeKgW6qEg/view?usp=drivesdk</t>
  </si>
  <si>
    <t>Montri</t>
  </si>
  <si>
    <t>Roschan</t>
  </si>
  <si>
    <t>บอล</t>
  </si>
  <si>
    <t>Ballchaiyo</t>
  </si>
  <si>
    <t>ballchaiyo@gmail.com</t>
  </si>
  <si>
    <t>OF2059337</t>
  </si>
  <si>
    <t>PKF-THAI-01108</t>
  </si>
  <si>
    <t>ช่างยานยนต์ล้อ ร้อย.บก.ร.111</t>
  </si>
  <si>
    <t>ภูมิพัฒน์</t>
  </si>
  <si>
    <t>สว่างแจ้ง</t>
  </si>
  <si>
    <t>ป.2 ชั้น 31 (22,790 บ.)</t>
  </si>
  <si>
    <t>ส29</t>
  </si>
  <si>
    <t>Phumiphat</t>
  </si>
  <si>
    <t>ศศิกานต์</t>
  </si>
  <si>
    <t>Sawangchaeng</t>
  </si>
  <si>
    <t>หอมประเสริฐ</t>
  </si>
  <si>
    <t>ช่างสำรวจ</t>
  </si>
  <si>
    <t>ช่างอาวุธ ช.11 พัน.111</t>
  </si>
  <si>
    <t>Sasikarn</t>
  </si>
  <si>
    <t>Homprasert</t>
  </si>
  <si>
    <t>https://drive.google.com/file/d/1HqkMVxKdpyHpFUofUvS4ln7Qs5uHNq_F/view?usp=drivesdk</t>
  </si>
  <si>
    <t>พยาบาล รพ.ค่ายอดิศร</t>
  </si>
  <si>
    <t>น.1 ชั้น 34 (26,270)</t>
  </si>
  <si>
    <t>https://drive.google.com/file/d/17JnY9grXTdvLH_5K06q2L7zTpYBySLwM/view?usp=drivesdk</t>
  </si>
  <si>
    <t>https://drive.google.com/file/d/1GQjVheuczy095BfZ0rY44N3YWlJPoRhn/view?usp=drivesdk</t>
  </si>
  <si>
    <t>ฟิวส์</t>
  </si>
  <si>
    <t>ffew.</t>
  </si>
  <si>
    <t>poomphat2261@gmail.com</t>
  </si>
  <si>
    <t>OF2059761</t>
  </si>
  <si>
    <t>PKF-THAI-01258</t>
  </si>
  <si>
    <t>ณัฐพล</t>
  </si>
  <si>
    <t>นาคอ่อน</t>
  </si>
  <si>
    <t>Nattapon</t>
  </si>
  <si>
    <t>Nakoon</t>
  </si>
  <si>
    <t>พลขับ พัน.ช.กช.ร้อย.1</t>
  </si>
  <si>
    <t>ป.2 ชั้น 26 (19720.-บาท)</t>
  </si>
  <si>
    <t>https://drive.google.com/file/d/18_U0i-vjn4b_awJb6PSw_c93NdBlb-7f/view?usp=drivesdk</t>
  </si>
  <si>
    <t>ส30</t>
  </si>
  <si>
    <t>พ.ต.หญิง</t>
  </si>
  <si>
    <t>ขนิษฐา</t>
  </si>
  <si>
    <t>สามารถ</t>
  </si>
  <si>
    <t>Khanittha</t>
  </si>
  <si>
    <t>Samart</t>
  </si>
  <si>
    <t>น.2 ชั้น 23</t>
  </si>
  <si>
    <t>https://drive.google.com/file/d/1G7UTclihjulhwTNp3SYQgG_f0_mAlBgU/view?usp=drivesdk</t>
  </si>
  <si>
    <t>ไนท์ (night)</t>
  </si>
  <si>
    <t>nightkn</t>
  </si>
  <si>
    <t>nutty2j@gmail.com</t>
  </si>
  <si>
    <t>OF2059336</t>
  </si>
  <si>
    <t>PKF-THAI-01109</t>
  </si>
  <si>
    <t>ธวัชชัย</t>
  </si>
  <si>
    <t>โพธิ์ศรีขาม</t>
  </si>
  <si>
    <t>Tawatchai</t>
  </si>
  <si>
    <t>Phosrikham</t>
  </si>
  <si>
    <t>ผู้บังคับหมู่</t>
  </si>
  <si>
    <t>พลประจำรถถากถาง ช.11 พัน.111</t>
  </si>
  <si>
    <t>ป.2 ชั้น 31 (22790.-บาท)</t>
  </si>
  <si>
    <t>https://drive.google.com/file/d/1s4SdJoXbvQ0SlNIvd6Tswjc2AHEXu4zF/view?usp=drivesdk</t>
  </si>
  <si>
    <t>ส31</t>
  </si>
  <si>
    <t>เจตนิพัทธ์</t>
  </si>
  <si>
    <t>จันทร์เรือง</t>
  </si>
  <si>
    <t>ต้อม</t>
  </si>
  <si>
    <t>PKF-THAI-01329</t>
  </si>
  <si>
    <t>Jednipat</t>
  </si>
  <si>
    <t>Junruang</t>
  </si>
  <si>
    <t>ตูม</t>
  </si>
  <si>
    <t>toomnco1453</t>
  </si>
  <si>
    <t>toomlove1453@gmail.com</t>
  </si>
  <si>
    <t>OF2059356</t>
  </si>
  <si>
    <t>PKF-THAI-01110</t>
  </si>
  <si>
    <t>วิบูลย์</t>
  </si>
  <si>
    <t>ศรสุวรรณ</t>
  </si>
  <si>
    <t>Viboon</t>
  </si>
  <si>
    <t>Sornsuwan</t>
  </si>
  <si>
    <t>0901254252</t>
  </si>
  <si>
    <t>พลประจำรถถากถางขนาดเบา</t>
  </si>
  <si>
    <t>ป.2 ชั้น 27 (20330.-บาท)</t>
  </si>
  <si>
    <t>https://drive.google.com/file/d/1FvS4tx17RVsndBuFwKgkQFRDKs09x5Ze/view?usp=drivesdk</t>
  </si>
  <si>
    <t>https://drive.google.com/file/d/1yk-mer1Fq6asuK3IsnxWW116A1GfMZTp/view?usp=drivesdk</t>
  </si>
  <si>
    <t>ส32</t>
  </si>
  <si>
    <t>0952754853</t>
  </si>
  <si>
    <t>12viboon@gmail.com</t>
  </si>
  <si>
    <t>วันวิสาข์</t>
  </si>
  <si>
    <t>OF2059284</t>
  </si>
  <si>
    <t>PKF-THAI-01259</t>
  </si>
  <si>
    <t>ธารวาวแวว</t>
  </si>
  <si>
    <t>มานะพงษ์</t>
  </si>
  <si>
    <t>จันทาอ่อน</t>
  </si>
  <si>
    <t>Manapong</t>
  </si>
  <si>
    <t>Wanwisa</t>
  </si>
  <si>
    <t>Chan-ta-on</t>
  </si>
  <si>
    <t>Thanwaowaeo</t>
  </si>
  <si>
    <t>พลประจำรถโกยตักล้อยาง ขนาด 1 ลบ.ม.</t>
  </si>
  <si>
    <t>ช่างไฟฟ้า ช.11 พัน.111</t>
  </si>
  <si>
    <t>นายสิบพยาบาล รพ.ค่ายอดิศร</t>
  </si>
  <si>
    <t>ป.2 ชั้น 40+ย.1 (30790.-บาท)</t>
  </si>
  <si>
    <t>https://drive.google.com/file/d/1p-6AhpBj7ktAGm2ofk4Xbm14TmvE5EYB/view?usp=drivesdk</t>
  </si>
  <si>
    <t>https://drive.google.com/file/d/1VzAEjz-aLQlzhpxvs0oEsno7ltM9moYc/view?usp=drivesdk</t>
  </si>
  <si>
    <t>ปุ๊</t>
  </si>
  <si>
    <t>purastathailand</t>
  </si>
  <si>
    <t>freezer198052@gmail.com</t>
  </si>
  <si>
    <t>OF2059759</t>
  </si>
  <si>
    <t>PKF-THAI-01111</t>
  </si>
  <si>
    <t>พิทยา</t>
  </si>
  <si>
    <t>บุญทา</t>
  </si>
  <si>
    <t>Pittaya</t>
  </si>
  <si>
    <t>Bunta</t>
  </si>
  <si>
    <t>พลประจำรถเกลี่ย</t>
  </si>
  <si>
    <t>พลขับรถบรรทุกหนัก ช.11 พัน.111</t>
  </si>
  <si>
    <t>ป.2 ชั้น 28.5 (21250.-บาท)</t>
  </si>
  <si>
    <t>https://drive.google.com/file/d/1wA35U5egAvL_bCvgu2SY9gQs7AgaCf9-/view?usp=drivesdk</t>
  </si>
  <si>
    <t>ส33</t>
  </si>
  <si>
    <t>ธานินทร์</t>
  </si>
  <si>
    <t>เสนาะเสียง</t>
  </si>
  <si>
    <t>Tanin</t>
  </si>
  <si>
    <t>Sanaosieng</t>
  </si>
  <si>
    <t>นายสิบพยาบาล ตอนรถยนต์พยาบาล มว.ส่งกลับ ร้อย.สร.สน. พัน.สร.1</t>
  </si>
  <si>
    <t>ป.1 ชั้น 26 (14,060.-บาท)</t>
  </si>
  <si>
    <t>https://drive.google.com/file/d/1n5fORXemB5J5FnEncs8icx3GmFzFx1ys/view?usp=drivesdk</t>
  </si>
  <si>
    <t>ตั้ม</t>
  </si>
  <si>
    <t>tumpittaya11111</t>
  </si>
  <si>
    <t>pittayabunta11111@gmail.com</t>
  </si>
  <si>
    <t>OF2059756</t>
  </si>
  <si>
    <t>PKF-THAI-01112</t>
  </si>
  <si>
    <t>อนุสรณ์</t>
  </si>
  <si>
    <t>ทองอำพล</t>
  </si>
  <si>
    <t>Anusorn</t>
  </si>
  <si>
    <t>Thongampon</t>
  </si>
  <si>
    <t>พลประจำรถบดสั่นสะเทือน</t>
  </si>
  <si>
    <t>ช่างท่อ ช.11 พัน.111</t>
  </si>
  <si>
    <t>ป.2 ชั้น 29.5 (21880.-บาท)</t>
  </si>
  <si>
    <t>https://drive.google.com/file/d/1ZWzVsxkt7bYZ46YfC_YVqoUcFOx82pG6/view?usp=drivesdk</t>
  </si>
  <si>
    <t>ส34</t>
  </si>
  <si>
    <t>อนุชิต</t>
  </si>
  <si>
    <t>บัวเลิศ</t>
  </si>
  <si>
    <t>เอก</t>
  </si>
  <si>
    <t>OF2059355</t>
  </si>
  <si>
    <t>PKF-THAI-01260</t>
  </si>
  <si>
    <t>Anuchit</t>
  </si>
  <si>
    <t>Bualoet</t>
  </si>
  <si>
    <t>พงศ์ศิริ</t>
  </si>
  <si>
    <t>การะเกษ</t>
  </si>
  <si>
    <t>Phongsiri</t>
  </si>
  <si>
    <t>Karaket</t>
  </si>
  <si>
    <t>นายทหารศูนย์การสื่อสาร</t>
  </si>
  <si>
    <t>พลประจำรถบรรทุกน้ำ</t>
  </si>
  <si>
    <t>นายสิบตรวจการก่อสร้าง ช.11 พัน.111</t>
  </si>
  <si>
    <t>ป.2 ชั้น 37 (26990.-บาท)</t>
  </si>
  <si>
    <t>น.1 ชั้น 28.5 (22,230.-บาท)</t>
  </si>
  <si>
    <t>สส.</t>
  </si>
  <si>
    <t>https://drive.google.com/file/d/1y_fScATAEVHQMX6FmUnwx9BB3wFzPLgS/view?usp=drivesdk</t>
  </si>
  <si>
    <t>https://drive.google.com/file/d/1RWfnKRM7Bn5CcQG7FfXx08by_iSr1-0j/view?usp=drivesdk</t>
  </si>
  <si>
    <t>โอ๊ะ</t>
  </si>
  <si>
    <t>https://line.me/ti/p/sz8iI456MI</t>
  </si>
  <si>
    <t>ส35</t>
  </si>
  <si>
    <t>เก็บกลาง</t>
  </si>
  <si>
    <t>contactphongsiri@gmail.com</t>
  </si>
  <si>
    <t>Witthaya</t>
  </si>
  <si>
    <t>OF2059316</t>
  </si>
  <si>
    <t>PKF-THAI-01261</t>
  </si>
  <si>
    <t>Kebklang</t>
  </si>
  <si>
    <t>ธีรวัฒน์</t>
  </si>
  <si>
    <t>เฟื่องฟู</t>
  </si>
  <si>
    <t>ช่างซ่อมวิทยุ</t>
  </si>
  <si>
    <t>ป.3 ชั้น 27.0 (27,960.-บาท)</t>
  </si>
  <si>
    <t>Teerawat</t>
  </si>
  <si>
    <t>Fuengfoo</t>
  </si>
  <si>
    <t>พลประจำรถยนต์บรรทุกเทท้าย</t>
  </si>
  <si>
    <t>พลสลับสายอาวุโส ช.11 พัน.111</t>
  </si>
  <si>
    <t>https://drive.google.com/file/d/1xIAu4UyJ1O6w60aw7keMsncNd-zODhlr/view?usp=drivesdk</t>
  </si>
  <si>
    <t>https://drive.google.com/file/d/1I3rOc9Tt220CRxvfiMsC-oqCdMpKVNEU/view?usp=drivesdk</t>
  </si>
  <si>
    <t>อาร์ต</t>
  </si>
  <si>
    <t>0623565286</t>
  </si>
  <si>
    <t>bpn125634@gmail.com</t>
  </si>
  <si>
    <t>OF2059325</t>
  </si>
  <si>
    <t>PKF-THAI-01113</t>
  </si>
  <si>
    <t>บัวพึ่ง</t>
  </si>
  <si>
    <t>ส36</t>
  </si>
  <si>
    <t>Buapueng</t>
  </si>
  <si>
    <t>สุริยา</t>
  </si>
  <si>
    <t>เสียงใส</t>
  </si>
  <si>
    <t>ครูผู้ช่วย ผคค.กศ.รร.ช.กช.</t>
  </si>
  <si>
    <t>https://drive.google.com/file/d/14ndQnbO5eje9R24aKXznmEn9MpWj7EjA/view?usp=drivesdk</t>
  </si>
  <si>
    <t>Suriya</t>
  </si>
  <si>
    <t>Seangsai</t>
  </si>
  <si>
    <t>หน.พลนำสาร</t>
  </si>
  <si>
    <t>ป.2 ชั้น 30.0 (22,180.-บาท)</t>
  </si>
  <si>
    <t>https://drive.google.com/file/d/1oB-4OmEfPe5AYcPrflolSXAYqp9CdQXg/view?usp=drivesdk</t>
  </si>
  <si>
    <t>จั่นเจา</t>
  </si>
  <si>
    <t>junjao1996.</t>
  </si>
  <si>
    <t>buapueng_@hotmail.com</t>
  </si>
  <si>
    <t>OF2059341</t>
  </si>
  <si>
    <t>PKF-THAI-01262</t>
  </si>
  <si>
    <t>ภูดี</t>
  </si>
  <si>
    <t>Phudee</t>
  </si>
  <si>
    <t>พลประจำรถตักบรรทุกขนาด 2 1/2 ลบ.หลา</t>
  </si>
  <si>
    <t>https://drive.google.com/file/d/1N-S-zLlVc7eiEpCmsAe35769TkQtJgcF/view?usp=drivesdk</t>
  </si>
  <si>
    <t>ส37</t>
  </si>
  <si>
    <t>ศรีภูธร</t>
  </si>
  <si>
    <t>Werawat</t>
  </si>
  <si>
    <t>Sriputorn</t>
  </si>
  <si>
    <t>หน.ชุดวิทยุถ่ายทอด</t>
  </si>
  <si>
    <t>ป.2 ชั้น 31 (22,790.-บาท)</t>
  </si>
  <si>
    <t>https://drive.google.com/file/d/1w0vb8LMx5s7IbMMFugZhCVBrHrKTBwBI/view?usp=drivesdk</t>
  </si>
  <si>
    <t>แร่</t>
  </si>
  <si>
    <t>0983633742</t>
  </si>
  <si>
    <t>mi0983633742@gmail.com</t>
  </si>
  <si>
    <t>OF2059758</t>
  </si>
  <si>
    <t>PKF-THAI-01114</t>
  </si>
  <si>
    <t>จันทร์ทอง</t>
  </si>
  <si>
    <t>Chanthong</t>
  </si>
  <si>
    <t>พลประจำ รยบ.ขนาด 2 1/2 ตัน</t>
  </si>
  <si>
    <t>ช่างยานยนต์ล้อ กบร.กช.</t>
  </si>
  <si>
    <t>https://drive.google.com/file/d/1MCCWMw5_8lM8Yi9xd64S3jzoipR08uMk/view?usp=drivesdk</t>
  </si>
  <si>
    <t>ส38</t>
  </si>
  <si>
    <t>ธีรพล</t>
  </si>
  <si>
    <t>นาเกลือ</t>
  </si>
  <si>
    <t>Teerapol</t>
  </si>
  <si>
    <t>Naklua</t>
  </si>
  <si>
    <t>หัวหน้าช่างซ่อมและติดตั้งโทรศัพท์</t>
  </si>
  <si>
    <t>ป.2 ชั้น 21.5 (16,960.-บาท)</t>
  </si>
  <si>
    <t>https://drive.google.com/file/d/1GLzjG4g6AqPDsPkofVqYZTzLeFg4hsZR/view?usp=drivesdk</t>
  </si>
  <si>
    <t>เบนช์</t>
  </si>
  <si>
    <t>apiwat302</t>
  </si>
  <si>
    <t>ApiwatChanthong@gmail.com</t>
  </si>
  <si>
    <t>OF2059327</t>
  </si>
  <si>
    <t>PKF-THAI-01115</t>
  </si>
  <si>
    <t>อลงกต</t>
  </si>
  <si>
    <t>กีระนันทน์</t>
  </si>
  <si>
    <t>Alongkot</t>
  </si>
  <si>
    <t>Keeranant</t>
  </si>
  <si>
    <t>จ่ากองพัน ช.11 พัน.602</t>
  </si>
  <si>
    <t>ป.3 ชั้น 33.5 (34680.-บาท)</t>
  </si>
  <si>
    <t>https://drive.google.com/file/d/1ecXU4DSo-FZXaQlDsdXusxJSHA2OI5Q2/view?usp=drivesdk</t>
  </si>
  <si>
    <t>ส39</t>
  </si>
  <si>
    <t>ศตวรรษ</t>
  </si>
  <si>
    <t>พัตรสิงห์</t>
  </si>
  <si>
    <t>Satawat</t>
  </si>
  <si>
    <t>Patsing</t>
  </si>
  <si>
    <t>เสมียนพิมพ์ดีด</t>
  </si>
  <si>
    <t>ป.1 ชั้น 29 (15,540.-บาท)</t>
  </si>
  <si>
    <t>https://drive.google.com/file/d/1-195f-S4qUzCOjNE2ak7LmgTZZ_pzan5/view?usp=drivesdk</t>
  </si>
  <si>
    <t>กต</t>
  </si>
  <si>
    <t>kott38</t>
  </si>
  <si>
    <t>akharadet602@gmail.com</t>
  </si>
  <si>
    <t>OF2059326</t>
  </si>
  <si>
    <t>PKF-THAI-01116</t>
  </si>
  <si>
    <t>กฤษดา</t>
  </si>
  <si>
    <t>ชาญเลิศ</t>
  </si>
  <si>
    <t>Krisada</t>
  </si>
  <si>
    <t>Chanlerd</t>
  </si>
  <si>
    <t>พลประจำรถถากถางขนาดกลาง</t>
  </si>
  <si>
    <t>ช่างไฟฟ้า ช.11 พัน.602</t>
  </si>
  <si>
    <t>ป.2 ชั้น 36.5 (26630.-บาท)</t>
  </si>
  <si>
    <t>https://drive.google.com/file/d/10yUYxZpf5-ujtXoit3_vD643232haB2L/view?usp=drivesdk</t>
  </si>
  <si>
    <t>ส40</t>
  </si>
  <si>
    <t>ศิริพรรณ</t>
  </si>
  <si>
    <t>ศรีอินทร์</t>
  </si>
  <si>
    <t>Siripan</t>
  </si>
  <si>
    <t>Sriin</t>
  </si>
  <si>
    <t>ช่างซ่อมและติดตั้งเครือข่ายภายใน</t>
  </si>
  <si>
    <t>krisada847</t>
  </si>
  <si>
    <t>krisada12477@gmail.com</t>
  </si>
  <si>
    <t>OF2059747</t>
  </si>
  <si>
    <t>PKF-THAI-01117</t>
  </si>
  <si>
    <t>https://drive.google.com/file/d/1Er2j-9m0pB_OxKOl7LwdUqie7mwr8SwA/view?usp=drivesdk</t>
  </si>
  <si>
    <t>ปัญญาวชิรโชติ</t>
  </si>
  <si>
    <t>Panyavachirachot</t>
  </si>
  <si>
    <t>พลประจำรถโกยตักสายพาน ขนาด 1 ลบ.ม.</t>
  </si>
  <si>
    <t>นายสิบสูทกรรม ช.11 พัน.602</t>
  </si>
  <si>
    <t>https://drive.google.com/file/d/1DcYbW_y6kZ1FnKHCbzo4K7mjGKzprcFf/view?usp=drivesdk</t>
  </si>
  <si>
    <t>ส41</t>
  </si>
  <si>
    <t>คมกฤช</t>
  </si>
  <si>
    <t>มีอยู่</t>
  </si>
  <si>
    <t>ปีเตอร์พี</t>
  </si>
  <si>
    <t>pj-vtr</t>
  </si>
  <si>
    <t>tepeandlp@hotmail.com</t>
  </si>
  <si>
    <t>OF2059330</t>
  </si>
  <si>
    <t>PKF-THAI-01118</t>
  </si>
  <si>
    <t>ธนบูรณ์</t>
  </si>
  <si>
    <t>Khomgrit</t>
  </si>
  <si>
    <t>บุญฤทธิ์</t>
  </si>
  <si>
    <t>Meeyoo</t>
  </si>
  <si>
    <t>Thanaboon</t>
  </si>
  <si>
    <t>Boonrit</t>
  </si>
  <si>
    <t>ป.2 ชั้น 35.0 (25,530.-บาท)</t>
  </si>
  <si>
    <t>ช่างอาวุธ ช.11 พัน.602</t>
  </si>
  <si>
    <t>https://drive.google.com/file/d/1-uFy8xiWxRMhBeTfK938l_csSRjDSX-k/view?usp=drivesdk</t>
  </si>
  <si>
    <t>https://drive.google.com/file/d/1D6cGtBUGxTuseuk-D-JofaGG8rx_xZc_/view?usp=drivesdk</t>
  </si>
  <si>
    <t>โด่ง</t>
  </si>
  <si>
    <t>dongpoii</t>
  </si>
  <si>
    <t>thanaboon.d0909@gmail.com</t>
  </si>
  <si>
    <t>OF2059277</t>
  </si>
  <si>
    <t>PKF-THAI-01119</t>
  </si>
  <si>
    <t>ไชยา</t>
  </si>
  <si>
    <t>แจ้งสว่าง</t>
  </si>
  <si>
    <t>ส42</t>
  </si>
  <si>
    <t>Chaiya</t>
  </si>
  <si>
    <t>Jangsawang</t>
  </si>
  <si>
    <t>นายสิบชิ้นส่วนอาวุโส ช.11 พัน.602</t>
  </si>
  <si>
    <t>ป.2 ชั้น 34.5 (25160.-บาท)</t>
  </si>
  <si>
    <t>ชนแดน</t>
  </si>
  <si>
    <t>สิงห์แก้ว</t>
  </si>
  <si>
    <t>https://drive.google.com/file/d/1IGEuALONahGVH0c1U3NcUlqaWWAG45hz/view?usp=drivesdk</t>
  </si>
  <si>
    <t>Chondan</t>
  </si>
  <si>
    <t>Singkaew</t>
  </si>
  <si>
    <t>หน.พนักงานเครื่องคลื่นพาห์</t>
  </si>
  <si>
    <t>ป.3 ชั้น 33 (34,110.-บาท)</t>
  </si>
  <si>
    <t>OF2059332</t>
  </si>
  <si>
    <t>PKF-THAI-01120</t>
  </si>
  <si>
    <t>เอกชัย</t>
  </si>
  <si>
    <t>นิจิตร</t>
  </si>
  <si>
    <t>https://drive.google.com/file/d/1kYKAzpB6XQqfC4R9kCz4O0eNnUzOjhXx/view?usp=drivesdk</t>
  </si>
  <si>
    <t>Aekkachai</t>
  </si>
  <si>
    <t>Nijit</t>
  </si>
  <si>
    <t>ช่างเชื่อมอาวุโส ช.11 พัน.602</t>
  </si>
  <si>
    <t>https://drive.google.com/file/d/19WkiDc6BK1UMpXw2biKg24AQzJzvDu0o/view?usp=drivesdk</t>
  </si>
  <si>
    <t>aekachai 1988</t>
  </si>
  <si>
    <t>xekchaynicitr@gmail.com</t>
  </si>
  <si>
    <t>OF2059328</t>
  </si>
  <si>
    <t>PKF-THAI-01121</t>
  </si>
  <si>
    <t>วสันต์</t>
  </si>
  <si>
    <t>พรหมมา</t>
  </si>
  <si>
    <t>Wasan</t>
  </si>
  <si>
    <t>Promma</t>
  </si>
  <si>
    <t>พลขับรถบรรทุกหนัก ช.ร้อย.14</t>
  </si>
  <si>
    <t>ป.2 ชั้น 32.5 (23700.-บาท)</t>
  </si>
  <si>
    <t>https://drive.google.com/file/d/1Jaj4zYcksBWrvnitVfDsqPLAu4K6NHAF/view?usp=drivesdk</t>
  </si>
  <si>
    <t>สันต์</t>
  </si>
  <si>
    <t>0655683396</t>
  </si>
  <si>
    <t>wasanpromma.1988@gmail.com</t>
  </si>
  <si>
    <t>OF2059322</t>
  </si>
  <si>
    <t>PKF-THAI-01122</t>
  </si>
  <si>
    <t>ธนะชัย</t>
  </si>
  <si>
    <t>ขุนชำนิ</t>
  </si>
  <si>
    <t>Thanachai</t>
  </si>
  <si>
    <t>Khunchamni</t>
  </si>
  <si>
    <t>ผบ.หมู่ พัน.นร.รร.ช.กช.</t>
  </si>
  <si>
    <t>ป.2 ชั้น 25 (19100.-บาท)</t>
  </si>
  <si>
    <t>https://drive.google.com/file/d/1uje94X52Yx-odaMedlEG8LmBQdDzjJ7P/view?usp=drivesdk</t>
  </si>
  <si>
    <t>นะ</t>
  </si>
  <si>
    <t>OF2059339</t>
  </si>
  <si>
    <t>PKF-THAI-01263</t>
  </si>
  <si>
    <t>เชิดศักดิ์</t>
  </si>
  <si>
    <t>อินทปัทม์</t>
  </si>
  <si>
    <t>Churtsak</t>
  </si>
  <si>
    <t>Inthapat</t>
  </si>
  <si>
    <t>ช่างโครงสร้าง ช.11 พัน.602</t>
  </si>
  <si>
    <t>https://drive.google.com/file/d/1BfwYHEd_Usn40hXTHUZRh2OaS1qUM1hW/view?usp=drivesdk</t>
  </si>
  <si>
    <t>fews38</t>
  </si>
  <si>
    <t>churtsak2538@gmail.com</t>
  </si>
  <si>
    <t>OF2059872</t>
  </si>
  <si>
    <t>PKF-THAI-01123</t>
  </si>
  <si>
    <t>ต่อศักดิ์</t>
  </si>
  <si>
    <t>พันธุ์พานิช</t>
  </si>
  <si>
    <t>Torsak</t>
  </si>
  <si>
    <t>Punpanich</t>
  </si>
  <si>
    <t>ผบ.หมู่ กบร.กช.</t>
  </si>
  <si>
    <t>ป.3 ชั้น 31.5 (32450.-บาท)</t>
  </si>
  <si>
    <t>https://drive.google.com/file/d/1Rbi4EQzjAqL7Rz8V_U_LgH8ano8XWisv/view?usp=drivesdk</t>
  </si>
  <si>
    <t>ต่อ</t>
  </si>
  <si>
    <t>OF2059757</t>
  </si>
  <si>
    <t>PKF-THAI-01264</t>
  </si>
  <si>
    <t>มังคะลา</t>
  </si>
  <si>
    <t>Theerapol</t>
  </si>
  <si>
    <t>Mangkala</t>
  </si>
  <si>
    <t>ป.2 ชั้น 32 (23400.-บาท)</t>
  </si>
  <si>
    <t>https://drive.google.com/file/d/1BIVXw6CJHKvYpHCefCQK2IIXAEo-PPVY/view?usp=drivesdk</t>
  </si>
  <si>
    <t>โต้</t>
  </si>
  <si>
    <t>engineer79</t>
  </si>
  <si>
    <t>m.nco15154@gmail.com</t>
  </si>
  <si>
    <t>OF2025613</t>
  </si>
  <si>
    <t>PKF-THAI-01265</t>
  </si>
  <si>
    <t>จันทร์มาก</t>
  </si>
  <si>
    <t>Last Automatic Refresh Initiated</t>
  </si>
  <si>
    <t>Chanmark</t>
  </si>
  <si>
    <t>Last Manual Refresh Requested</t>
  </si>
  <si>
    <t>พลประจำรถถากถางขนาดหนัก</t>
  </si>
  <si>
    <t>พลขับรถบรรทุกหนัก ช.ร้อย.115</t>
  </si>
  <si>
    <t>https://drive.google.com/file/d/12ZsWQV_Qjz2UEe9FSHvnuFK9NPo_KblW/view?usp=drivesdk</t>
  </si>
  <si>
    <t>เดียร์</t>
  </si>
  <si>
    <t>OF2059335</t>
  </si>
  <si>
    <t>PKF-THAI-01124</t>
  </si>
  <si>
    <t>คุณวุฒิ</t>
  </si>
  <si>
    <t>พุมมาเกิด</t>
  </si>
  <si>
    <t>kunnawoot</t>
  </si>
  <si>
    <t>phummakoed</t>
  </si>
  <si>
    <t>พลประจำรถโกยตักสายพานขนาด 3/4 ลบ.หลา</t>
  </si>
  <si>
    <t>ช่างเครื่องมือกล ช.11 พัน.111</t>
  </si>
  <si>
    <t>ป.1 ชั้น 28.5 (15290.-บาท)</t>
  </si>
  <si>
    <t>https://drive.google.com/file/d/1CJunDDe9U_rGj7Adhn95379EpXwKnU-v/view?usp=drivesdk</t>
  </si>
  <si>
    <t>golffy_jung</t>
  </si>
  <si>
    <t>6510430036@bkkthon.ac.th</t>
  </si>
  <si>
    <t>OF2059285</t>
  </si>
  <si>
    <t>PKF-THAI-01266</t>
  </si>
  <si>
    <t>เกียรติประวุฒิ</t>
  </si>
  <si>
    <t>เคลิ้มฝัน</t>
  </si>
  <si>
    <t>kiadprawut</t>
  </si>
  <si>
    <t>khloemfan</t>
  </si>
  <si>
    <t>091-8533414</t>
  </si>
  <si>
    <t>https://drive.google.com/file/d/1UUviDjMIRdCicE48oard5eKU39miIgpD/view?usp=drivesdk</t>
  </si>
  <si>
    <t>ปอนด์</t>
  </si>
  <si>
    <t>lcppaperpon</t>
  </si>
  <si>
    <t>paperpon28@gmail.com</t>
  </si>
  <si>
    <t>OF2059333</t>
  </si>
  <si>
    <t>PKF-THAI-01267</t>
  </si>
  <si>
    <t>นคร</t>
  </si>
  <si>
    <t>เรืองสิน</t>
  </si>
  <si>
    <t>Nakorn</t>
  </si>
  <si>
    <t>Reangsin</t>
  </si>
  <si>
    <t>นายสิบแผนงานก่อสร้าง ร้อย.บก.ช.11</t>
  </si>
  <si>
    <t>https://drive.google.com/file/d/1QcXvrC-Qwml3NdKHGaxjzJiSI3IeHzK7/view?usp=drivesdk</t>
  </si>
  <si>
    <t>อ๊อฟ</t>
  </si>
  <si>
    <t>091991281985</t>
  </si>
  <si>
    <t>Ruknurse0928@gmail.com</t>
  </si>
  <si>
    <t>OF2059321</t>
  </si>
  <si>
    <t>PKF-THAI-01268</t>
  </si>
  <si>
    <t>สรายุทธ์</t>
  </si>
  <si>
    <t>ศิโรรัตนเกษม</t>
  </si>
  <si>
    <t>Sarayut</t>
  </si>
  <si>
    <t>Sirorattanakasem</t>
  </si>
  <si>
    <t>พลสูทกรรม ช.ร้อย.18</t>
  </si>
  <si>
    <t>https://drive.google.com/file/d/10RVNRfeLpjfQejlg1BXKgnHUSxm8sJR0/view?usp=drivesdk</t>
  </si>
  <si>
    <t>คิงคอง</t>
  </si>
  <si>
    <t>OF2059766</t>
  </si>
  <si>
    <t>PKF-THAI-01125</t>
  </si>
  <si>
    <t>กฤษณชัย</t>
  </si>
  <si>
    <t>สังข์ประสิทธิ์</t>
  </si>
  <si>
    <t>Kritsanachai</t>
  </si>
  <si>
    <t>Sangprasit</t>
  </si>
  <si>
    <t>พลขับรถบรรทุกเบา ช.ร้อย.14</t>
  </si>
  <si>
    <t>ป.1 ชั้น 26 (14060.-บาท)</t>
  </si>
  <si>
    <t>https://drive.google.com/file/d/1EmaSnWSh3DCLsRFjvNH_-whG-sZEEVGx/view?usp=drivesdk</t>
  </si>
  <si>
    <t>ปังปอนด์</t>
  </si>
  <si>
    <t>idline29</t>
  </si>
  <si>
    <t>Weaponzsangprasit@gmail.com</t>
  </si>
  <si>
    <t>OF2059768</t>
  </si>
  <si>
    <t>PKF-THAI-01126</t>
  </si>
  <si>
    <t>ยุทธพล</t>
  </si>
  <si>
    <t>เต่าทอง</t>
  </si>
  <si>
    <t>Yuttapol</t>
  </si>
  <si>
    <t>Taotong</t>
  </si>
  <si>
    <t>นายสิบชิ้นส่วน สาย ช. พัน.ช.คมศ.พล.ช.</t>
  </si>
  <si>
    <t>https://drive.google.com/file/d/1gmB8RDDfnYpwqj0uBu4O69xs2Pmv2zjN/view?usp=drivesdk</t>
  </si>
  <si>
    <t>เอ็ม</t>
  </si>
  <si>
    <t>OF2059419</t>
  </si>
  <si>
    <t>PKF-THAI-01127</t>
  </si>
  <si>
    <t>ชยกร</t>
  </si>
  <si>
    <t>พวงประดู่</t>
  </si>
  <si>
    <t>Chayakorn</t>
  </si>
  <si>
    <t>Poungpradoo</t>
  </si>
  <si>
    <t>ช่างเครื่องมือกลอาวุโส ช.11 พัน.111</t>
  </si>
  <si>
    <t>ป.2 ชั้น 24 (18480.-บาท)</t>
  </si>
  <si>
    <t>https://drive.google.com/file/d/1jWDjPxBmHbrCe1iCQXPNCcPhWDEhHi7Q/view?usp=drivesdk</t>
  </si>
  <si>
    <t>ดรีม</t>
  </si>
  <si>
    <t>OF2059445</t>
  </si>
  <si>
    <t>PKF-THAI-01269</t>
  </si>
  <si>
    <t>ธนัทเดช</t>
  </si>
  <si>
    <t>สีไสว</t>
  </si>
  <si>
    <t>Tanutdach</t>
  </si>
  <si>
    <t>Seesawai</t>
  </si>
  <si>
    <t>ผู้ช่วยพลประจำ</t>
  </si>
  <si>
    <t>นายสิบส่งกำลัง ช.11 พัน.602</t>
  </si>
  <si>
    <t>ป.2 ชั้น 40+ย.5.5 (35810.-บาท)</t>
  </si>
  <si>
    <t>https://drive.google.com/file/d/1c03SfkS53G974gIrcwfctBLj8TrhhwZr/view?usp=drivesdk</t>
  </si>
  <si>
    <t>รุ่ง</t>
  </si>
  <si>
    <t>dawrung8316</t>
  </si>
  <si>
    <t>dawrung8728@gmail.com</t>
  </si>
  <si>
    <t>OF2059416</t>
  </si>
  <si>
    <t>PKF-THAI-01128</t>
  </si>
  <si>
    <t>ผบ.ร้อย.ช.สนาม ช.พัน.9 พล.ร.9</t>
  </si>
  <si>
    <t>น.1 ชั้น 32 (24800.-บาท)</t>
  </si>
  <si>
    <t>0978795149</t>
  </si>
  <si>
    <t>https://drive.google.com/file/d/1dY75MI1SQv8SDmCNeMfw76wh_tgIK6F1/view?usp=drivesdk</t>
  </si>
  <si>
    <t>กร</t>
  </si>
  <si>
    <t>mungkorn2465</t>
  </si>
  <si>
    <t>mungkorn2465@gmail.com</t>
  </si>
  <si>
    <t>OF2059291</t>
  </si>
  <si>
    <t>PKF-THAI-01270</t>
  </si>
  <si>
    <t>มะรังษี</t>
  </si>
  <si>
    <t>Mongkol</t>
  </si>
  <si>
    <t>Marangsi</t>
  </si>
  <si>
    <t>พลขับรถ</t>
  </si>
  <si>
    <t>https://drive.google.com/file/d/1PwAUoyOnVki8n25tSQEF55a3JHyGPt7m/view?usp=drivesdk</t>
  </si>
  <si>
    <t>แบงค์</t>
  </si>
  <si>
    <t>OF2059764</t>
  </si>
  <si>
    <t>PKF-THAI-01271</t>
  </si>
  <si>
    <t>โอภาส</t>
  </si>
  <si>
    <t>มากรักษา</t>
  </si>
  <si>
    <t>Opas</t>
  </si>
  <si>
    <t>Makraksa</t>
  </si>
  <si>
    <t>ป.2 ชั้น 29 (21550.-บาท)</t>
  </si>
  <si>
    <t>https://drive.google.com/file/d/167j3qdpVrKufBUIBNDFAXsmM5gPfAwlg/view?usp=drivesdk</t>
  </si>
  <si>
    <t>โน๊ต</t>
  </si>
  <si>
    <t>nconote1756</t>
  </si>
  <si>
    <t>note_makraksa@hotmail.com</t>
  </si>
  <si>
    <t>OF2059320</t>
  </si>
  <si>
    <t>PKF-THAI-01272</t>
  </si>
  <si>
    <t>พิชชากร</t>
  </si>
  <si>
    <t>สมนาค</t>
  </si>
  <si>
    <t>Pitchakorn</t>
  </si>
  <si>
    <t>Somnak</t>
  </si>
  <si>
    <t>https://drive.google.com/file/d/1sI05QB2W3l6suXcT5Z6qPP2XG1T4OB9I/view?usp=drivesdk</t>
  </si>
  <si>
    <t>โหน่ง</t>
  </si>
  <si>
    <t>nong-1756</t>
  </si>
  <si>
    <t>noynong6836@gmail.com</t>
  </si>
  <si>
    <t>OF2059304</t>
  </si>
  <si>
    <t>PKF-THAI-01273</t>
  </si>
  <si>
    <t>ชุติพนธ์</t>
  </si>
  <si>
    <t>กลิ่นสุคนธ์</t>
  </si>
  <si>
    <t>Chutiphon</t>
  </si>
  <si>
    <t>Klinsukhon</t>
  </si>
  <si>
    <t>ช่างยานยนต์ล้อ</t>
  </si>
  <si>
    <t>ป.1 ชั้น 34.5 (18270.-บาท)</t>
  </si>
  <si>
    <t>https://drive.google.com/file/d/1Js7AkBdJW5HncXw822bTUF9UkGZvj7SA/view?usp=drivesdk</t>
  </si>
  <si>
    <t>เอฟ</t>
  </si>
  <si>
    <t>Chutiphon37</t>
  </si>
  <si>
    <t>fcarpkan2537@gmail.com</t>
  </si>
  <si>
    <t>OF2059347</t>
  </si>
  <si>
    <t>PKF-THAI-01129</t>
  </si>
  <si>
    <t>สุชาติ</t>
  </si>
  <si>
    <t>ฟากวิลัย</t>
  </si>
  <si>
    <t>Suchat</t>
  </si>
  <si>
    <t>Fakwilai</t>
  </si>
  <si>
    <t>ป.2 ชั้น 40+ย.3.5 (33560.-บาท)</t>
  </si>
  <si>
    <t>https://drive.google.com/file/d/1A2rkGa-GjlDqB-aCjAYzqQcFzwz03vmc/view?usp=drivesdk</t>
  </si>
  <si>
    <t>ชาติ</t>
  </si>
  <si>
    <t>fakwilai22</t>
  </si>
  <si>
    <t>suchatifakwilay@gmail.com</t>
  </si>
  <si>
    <t>OF2059388</t>
  </si>
  <si>
    <t>PKF-THAI-01274</t>
  </si>
  <si>
    <t>ยุทธนา</t>
  </si>
  <si>
    <t>ปิโย</t>
  </si>
  <si>
    <t>Yutthana</t>
  </si>
  <si>
    <t>Piyo</t>
  </si>
  <si>
    <t>พลประจำรถถากถาง</t>
  </si>
  <si>
    <t>พลทำลาย</t>
  </si>
  <si>
    <t>ป.1 ชั้น 32 (17050.-บาท)</t>
  </si>
  <si>
    <t>https://drive.google.com/file/d/1Prwrxm2TPlUrP3V-wFbVmGH9TeddApDb/view?usp=drivesdk</t>
  </si>
  <si>
    <t>มิ้น</t>
  </si>
  <si>
    <t>yutthana.28</t>
  </si>
  <si>
    <t>Min311428@gmail.com</t>
  </si>
  <si>
    <t>OF2059353</t>
  </si>
  <si>
    <t>PKF-THAI-01130</t>
  </si>
  <si>
    <t>กิตติภูมิ</t>
  </si>
  <si>
    <t>อ้อชัยภูมิ</t>
  </si>
  <si>
    <t>Kittipum</t>
  </si>
  <si>
    <t>Orchaiyapum</t>
  </si>
  <si>
    <t>พลประจำรถโกยตักล้อยางขนาด 1 ลบ.ม.</t>
  </si>
  <si>
    <t>พลขับรถบรรทุกหนัก</t>
  </si>
  <si>
    <t>https://drive.google.com/file/d/1dAytlun6ZeYkq1n2VHhRe6NjMRUoMKlA/view?usp=drivesdk</t>
  </si>
  <si>
    <t>ต้อ</t>
  </si>
  <si>
    <t>Kenshiro544</t>
  </si>
  <si>
    <t>kittipoom8737@gmail.com</t>
  </si>
  <si>
    <t>OF2059366</t>
  </si>
  <si>
    <t>PKF-THAI-01131</t>
  </si>
  <si>
    <t>ธนวัฒน์</t>
  </si>
  <si>
    <t>อ่วมเรืองรอง</t>
  </si>
  <si>
    <t>Tanawat</t>
  </si>
  <si>
    <t>Ouamruangrong</t>
  </si>
  <si>
    <t>พลทางสาย</t>
  </si>
  <si>
    <t>https://drive.google.com/file/d/1lvCsP5PK_5QvjyRmOYUhlM3FBtzDgZqM/view?usp=drivesdk</t>
  </si>
  <si>
    <t>a_e_130934</t>
  </si>
  <si>
    <t>a_e_black@hotmail.com</t>
  </si>
  <si>
    <t>OF2059302</t>
  </si>
  <si>
    <t>PKF-THAI-01132</t>
  </si>
  <si>
    <t>นิพนธ์</t>
  </si>
  <si>
    <t>ชีวานันท์</t>
  </si>
  <si>
    <t>Nipon</t>
  </si>
  <si>
    <t>Cheewanan</t>
  </si>
  <si>
    <t>ป.2 ชั้น 40+ย.2 (31880.-บาท)</t>
  </si>
  <si>
    <t>https://drive.google.com/file/d/1iriqUlje7QRtOcWjzXDoeEVUOZnXenst/view?usp=drivesdk</t>
  </si>
  <si>
    <t>พน</t>
  </si>
  <si>
    <t>Pon0895220667</t>
  </si>
  <si>
    <t>Poncheevanon@bmail.com</t>
  </si>
  <si>
    <t>OF2059352</t>
  </si>
  <si>
    <t>PKF-THAI-01133</t>
  </si>
  <si>
    <t>ศุภฤกษ์</t>
  </si>
  <si>
    <t>ปูนจีน</t>
  </si>
  <si>
    <t>Supaloerk</t>
  </si>
  <si>
    <t>Poonjeen</t>
  </si>
  <si>
    <t>พลประจำรถราดน้ำ</t>
  </si>
  <si>
    <t>นายสิบการประปาอาวุโส</t>
  </si>
  <si>
    <t>https://drive.google.com/file/d/1axemLC0aKQpK1v0x8vb7WvNLjLkQl4p7/view?usp=drivesdk</t>
  </si>
  <si>
    <t>นัย</t>
  </si>
  <si>
    <t>5_5_7_6</t>
  </si>
  <si>
    <t>natee180521@gmail.com</t>
  </si>
  <si>
    <t>OF2059311</t>
  </si>
  <si>
    <t>PKF-THAI-01134</t>
  </si>
  <si>
    <t>เกียรติศักดิ์</t>
  </si>
  <si>
    <t>บรรจบลาภ</t>
  </si>
  <si>
    <t>Kiadtisak</t>
  </si>
  <si>
    <t>Banchoblap</t>
  </si>
  <si>
    <t>ผบ.หมู่</t>
  </si>
  <si>
    <t>https://drive.google.com/file/d/1M7Tn8x_cRtf4AOFC0oKsF8R-iJOUNTs4/view?usp=drivesdk</t>
  </si>
  <si>
    <t>แฟรงค์</t>
  </si>
  <si>
    <t>0982283004</t>
  </si>
  <si>
    <t>ktsfrank@hotmail.com</t>
  </si>
  <si>
    <t>OF2059350</t>
  </si>
  <si>
    <t>PKF-THAI-01135</t>
  </si>
  <si>
    <t>นิรุทธ</t>
  </si>
  <si>
    <t>เชื้อเช้า</t>
  </si>
  <si>
    <t>Nirut</t>
  </si>
  <si>
    <t>Chuerchao</t>
  </si>
  <si>
    <t>พลประจำรถบรรทุกเทท้าย</t>
  </si>
  <si>
    <t>ช่างวิทยุ บก.ร้อย.ร้อย.ช.สนาม ช.พัน.9 พล.ร.9</t>
  </si>
  <si>
    <t>ป.2 ชั้น 40+ย.4 (34110.-บาท)</t>
  </si>
  <si>
    <t>https://drive.google.com/file/d/1JYWIfuu3eS-7XPvNAsI9h48u0p6FKkVM/view?usp=drivesdk</t>
  </si>
  <si>
    <t>รุต</t>
  </si>
  <si>
    <t>nirut241</t>
  </si>
  <si>
    <t>anirut241@gmail.com</t>
  </si>
  <si>
    <t>OF2059294</t>
  </si>
  <si>
    <t>PKF-THAI-01136</t>
  </si>
  <si>
    <t>อำนาจ</t>
  </si>
  <si>
    <t>เกิดละมูล</t>
  </si>
  <si>
    <t>Amnad</t>
  </si>
  <si>
    <t>Kerdlamul</t>
  </si>
  <si>
    <t>พลประจำรถตักบรรทุก 2 1/2 ลบ.หลา</t>
  </si>
  <si>
    <t>ป.1 ชั้น 21.5 (11860.-บาท)</t>
  </si>
  <si>
    <t>https://drive.google.com/file/d/12zCem1i1eAiJpjbfzTt543YxRD8LZoT-/view?usp=drivesdk</t>
  </si>
  <si>
    <t>m199728</t>
  </si>
  <si>
    <t>mai123za123@gmail.com</t>
  </si>
  <si>
    <t>OF2059354</t>
  </si>
  <si>
    <t>PKF-THAI-01137</t>
  </si>
  <si>
    <t>อานนท์</t>
  </si>
  <si>
    <t>เฮงจินดา</t>
  </si>
  <si>
    <t>Arnon</t>
  </si>
  <si>
    <t>Hengjinda</t>
  </si>
  <si>
    <t>เสมียนกองร้อย</t>
  </si>
  <si>
    <t>https://drive.google.com/file/d/1r1rEOSpPwcwjwm6GmvWfjfI6wize5c2p/view?usp=drivesdk</t>
  </si>
  <si>
    <t>หมู</t>
  </si>
  <si>
    <t>hengjinda</t>
  </si>
  <si>
    <t>arnonsmil.1995@gmail.com</t>
  </si>
  <si>
    <t>OF2059763</t>
  </si>
  <si>
    <t>PKF-THAI-01138</t>
  </si>
  <si>
    <t>รุ่งแสง</t>
  </si>
  <si>
    <t>Roongsaeng</t>
  </si>
  <si>
    <t>ป.2 ชั้น 37.5 (27440.-บาท)</t>
  </si>
  <si>
    <t>https://drive.google.com/file/d/1j2aqO6SU6ZAwBfnAXnGGDYeBmsTbZPcC/view?usp=drivesdk</t>
  </si>
  <si>
    <t>ยา</t>
  </si>
  <si>
    <t>0982924893</t>
  </si>
  <si>
    <t>roongsaeng1981@gmail.com</t>
  </si>
  <si>
    <t>OF2059295</t>
  </si>
  <si>
    <t>PKF-THAI-01139</t>
  </si>
  <si>
    <t>อนุชา</t>
  </si>
  <si>
    <t>มะลาไวย์</t>
  </si>
  <si>
    <t>Anucha</t>
  </si>
  <si>
    <t>Malawai</t>
  </si>
  <si>
    <t>รอง.ผบ.หมู่</t>
  </si>
  <si>
    <t>ป.1 ชั้น 35 (18530.-บาท)</t>
  </si>
  <si>
    <t>https://drive.google.com/file/d/1DyJmkcbXDOoiqvuR9AMychkAi6F0RZaA/view?usp=drivesdk</t>
  </si>
  <si>
    <t>กล้วย</t>
  </si>
  <si>
    <t>0983872621</t>
  </si>
  <si>
    <t>anucha0029foam@gmail.com</t>
  </si>
  <si>
    <t>OF2059312</t>
  </si>
  <si>
    <t>PKF-THAI-01140</t>
  </si>
  <si>
    <t>นฤเบศ</t>
  </si>
  <si>
    <t>โสมโสรส</t>
  </si>
  <si>
    <t>Narubass</t>
  </si>
  <si>
    <t>Somsoros</t>
  </si>
  <si>
    <t>ป.1 ชั้น 30.5 (16290.-บาท)</t>
  </si>
  <si>
    <t>https://drive.google.com/file/d/1BWWr4YB3jGhE6K-C3cqraDtq-pE3OUcK/view?usp=drivesdk</t>
  </si>
  <si>
    <t>เสือน้อย</t>
  </si>
  <si>
    <t>noy0612270557</t>
  </si>
  <si>
    <t>narubass9877@gmail.com</t>
  </si>
  <si>
    <t>OF2059306</t>
  </si>
  <si>
    <t>PKF-THAI-01141</t>
  </si>
  <si>
    <t>กฤษณะ</t>
  </si>
  <si>
    <t>บุญจัด</t>
  </si>
  <si>
    <t>Krissana</t>
  </si>
  <si>
    <t>Boonjud</t>
  </si>
  <si>
    <t>https://drive.google.com/file/d/1j3A_Nrb0i8f27Z_0foxssiVI1-Gj664G/view?usp=drivesdk</t>
  </si>
  <si>
    <t>ฉุย</t>
  </si>
  <si>
    <t>Chuy0901</t>
  </si>
  <si>
    <t>Krissana.chuy080637@gmail.com</t>
  </si>
  <si>
    <t>OF2059767</t>
  </si>
  <si>
    <t>PKF-THAI-01142</t>
  </si>
  <si>
    <t>อนิวัฒน์</t>
  </si>
  <si>
    <t>ทองเปราะ</t>
  </si>
  <si>
    <t>Aniwat</t>
  </si>
  <si>
    <t>Thongproa</t>
  </si>
  <si>
    <t>https://drive.google.com/file/d/1175KGI5RpAkJk2B8nxGtr0w1k6i2IUvV/view?usp=drivesdk</t>
  </si>
  <si>
    <t>บอส</t>
  </si>
  <si>
    <t>boss_boss1911</t>
  </si>
  <si>
    <t>boss.a262994@gmail.com</t>
  </si>
  <si>
    <t>OF2059770</t>
  </si>
  <si>
    <t>PKF-THAI-01143</t>
  </si>
  <si>
    <t>อนุชิด</t>
  </si>
  <si>
    <t>ประจักษ์</t>
  </si>
  <si>
    <t>Anuchid</t>
  </si>
  <si>
    <t>Pajak</t>
  </si>
  <si>
    <t>ป.2 ชั้น 31.5 (23090.-บาท)</t>
  </si>
  <si>
    <t>https://drive.google.com/file/d/1N-3NIgjHQ02uuak6nG6u1m2VA-G0Xnb-/view?usp=drivesdk</t>
  </si>
  <si>
    <t>จู</t>
  </si>
  <si>
    <t>09281351</t>
  </si>
  <si>
    <t>arjoojingjai@gmail.com</t>
  </si>
  <si>
    <t>OF2059297</t>
  </si>
  <si>
    <t>PKF-THAI-01144</t>
  </si>
  <si>
    <t>สิทธิพร</t>
  </si>
  <si>
    <t>พิมเพชร</t>
  </si>
  <si>
    <t>Sitthiporn</t>
  </si>
  <si>
    <t>Phimphet</t>
  </si>
  <si>
    <t>รอง ผู้บังคับหมู่</t>
  </si>
  <si>
    <t>https://drive.google.com/file/d/15GiMkPjz2wcxV4V3eS__2clXWQvanWnt/view?usp=drivesdk</t>
  </si>
  <si>
    <t>ตอ</t>
  </si>
  <si>
    <t>tor2439</t>
  </si>
  <si>
    <t>sitthiporn81@gmail.com</t>
  </si>
  <si>
    <t>OF2059771</t>
  </si>
  <si>
    <t>PKF-THAI-01145</t>
  </si>
  <si>
    <t>วัชระ</t>
  </si>
  <si>
    <t>ชัยเขียว</t>
  </si>
  <si>
    <t>Watchara</t>
  </si>
  <si>
    <t>Chaikhiao</t>
  </si>
  <si>
    <t>https://drive.google.com/file/d/1jTiIwWTXG_qekZ70Gy8wciR-f5Q5xhI2/view?usp=drivesdk</t>
  </si>
  <si>
    <t>ระ</t>
  </si>
  <si>
    <t>net.may</t>
  </si>
  <si>
    <t>watcharavorawan2529@gmail.com</t>
  </si>
  <si>
    <t>OF2059292</t>
  </si>
  <si>
    <t>PKF-THAI-01146</t>
  </si>
  <si>
    <t>ไพฑูรย์</t>
  </si>
  <si>
    <t>พิมพ์การ</t>
  </si>
  <si>
    <t>Paithoon</t>
  </si>
  <si>
    <t>Pimgan</t>
  </si>
  <si>
    <t>พลประจำเรือยนต์</t>
  </si>
  <si>
    <t>ป.1 ชั้น 29.5 (15800.-บาท)</t>
  </si>
  <si>
    <t>https://drive.google.com/file/d/1e5v7wvm7pKncyi1GlXDX99lQPBY6GJKB/view?usp=drivesdk</t>
  </si>
  <si>
    <t>เล่ย์</t>
  </si>
  <si>
    <t>0927893718</t>
  </si>
  <si>
    <t>paithoonpimgan01@gmail.com</t>
  </si>
  <si>
    <t>OF2059773</t>
  </si>
  <si>
    <t>PKF-THAI-01147</t>
  </si>
  <si>
    <t>เสนาโนฤทธิ์</t>
  </si>
  <si>
    <t>Amnat</t>
  </si>
  <si>
    <t>Saenanolit</t>
  </si>
  <si>
    <t>ป.2 ชั้น 33 (24070.-บาท)</t>
  </si>
  <si>
    <t>https://drive.google.com/file/d/1ipVzFECjqFO4EMK5U1LqqcsFQL0uEpa7/view?usp=drivesdk</t>
  </si>
  <si>
    <t>นาจ</t>
  </si>
  <si>
    <t>amnat070329@gmail.com</t>
  </si>
  <si>
    <t>OF2059301</t>
  </si>
  <si>
    <t>PKF-THAI-01148</t>
  </si>
  <si>
    <t>วราวุฒิ</t>
  </si>
  <si>
    <t>เพ็ชร์คง</t>
  </si>
  <si>
    <t>Warawut</t>
  </si>
  <si>
    <t>Petchkong</t>
  </si>
  <si>
    <t>ป.2 ชั้น 39.5 (29240.-บาท)</t>
  </si>
  <si>
    <t>https://drive.google.com/file/d/1K-2EbQus9NG9nKuRg_ZEYUl4bPBuSdjS/view?usp=drivesdk</t>
  </si>
  <si>
    <t>เค</t>
  </si>
  <si>
    <t>0935630684.</t>
  </si>
  <si>
    <t>warawut1984@gmail.com</t>
  </si>
  <si>
    <t>OF2059362</t>
  </si>
  <si>
    <t>PKF-THAI-01149</t>
  </si>
  <si>
    <t>สุเมธ</t>
  </si>
  <si>
    <t>ภูมิเกล้า</t>
  </si>
  <si>
    <t>Sumate</t>
  </si>
  <si>
    <t>Poomglao</t>
  </si>
  <si>
    <t>https://drive.google.com/file/d/1F4QKgB_r9JOaCVrNMlAYzd9_XbfM1prf/view?usp=drivesdk</t>
  </si>
  <si>
    <t>เมธ</t>
  </si>
  <si>
    <t>note11784</t>
  </si>
  <si>
    <t>note11784@gmail.com</t>
  </si>
  <si>
    <t>OF2059303</t>
  </si>
  <si>
    <t>PKF-THAI-01150</t>
  </si>
  <si>
    <t>วีระชัย</t>
  </si>
  <si>
    <t>เพ็ชรพลอย</t>
  </si>
  <si>
    <t>Veerachai</t>
  </si>
  <si>
    <t>Petploy</t>
  </si>
  <si>
    <t>https://drive.google.com/file/d/1OMdnSXKwMMLXb-IqArhQjQMLCV25_1hU/view?usp=drivesdk</t>
  </si>
  <si>
    <t>ดี้</t>
  </si>
  <si>
    <t>veerachai241</t>
  </si>
  <si>
    <t>veerachai01976@gmail.com</t>
  </si>
  <si>
    <t>OF2059314</t>
  </si>
  <si>
    <t>PKF-THAI-01151</t>
  </si>
  <si>
    <t>ฐนพชร</t>
  </si>
  <si>
    <t>แหยมประเสริฐ</t>
  </si>
  <si>
    <t>Thanaphat</t>
  </si>
  <si>
    <t>Yameprasert</t>
  </si>
  <si>
    <t>https://drive.google.com/file/d/1vK3_OlwRB7oRNuTp0SKFyDKPef-lYP36/view?usp=drivesdk</t>
  </si>
  <si>
    <t>เป้</t>
  </si>
  <si>
    <t>nco_pea</t>
  </si>
  <si>
    <t>impae1756@gmail.com</t>
  </si>
  <si>
    <t>OF2059310</t>
  </si>
  <si>
    <t>PKF-THAI-01152</t>
  </si>
  <si>
    <t>จิตติวุฒิ</t>
  </si>
  <si>
    <t>คมขำ</t>
  </si>
  <si>
    <t>Jittiwut</t>
  </si>
  <si>
    <t>Komkham</t>
  </si>
  <si>
    <t>https://drive.google.com/file/d/1Kep7E1uzbZl9uWSo0_-HO33cF2r4NdpL/view?usp=drivesdk</t>
  </si>
  <si>
    <t>ป้อม</t>
  </si>
  <si>
    <t>lovemintsprite</t>
  </si>
  <si>
    <t>pom080836@gmail.com</t>
  </si>
  <si>
    <t>OF2059300</t>
  </si>
  <si>
    <t>PKF-THAI-01153</t>
  </si>
  <si>
    <t>ชลพรรษ</t>
  </si>
  <si>
    <t>ขันมั่น</t>
  </si>
  <si>
    <t>Chonlapat</t>
  </si>
  <si>
    <t>Kanman</t>
  </si>
  <si>
    <t>พลประจำรถตักบรรทุก</t>
  </si>
  <si>
    <t>https://drive.google.com/file/d/12IwdEk7xA-LJaaIjPGh1Sz4rmHt4VN7s/view?usp=drivesdk</t>
  </si>
  <si>
    <t>โชว์</t>
  </si>
  <si>
    <t>ShowChonlapat</t>
  </si>
  <si>
    <t>showchonlapat26@gmail.com</t>
  </si>
  <si>
    <t>OF2059315</t>
  </si>
  <si>
    <t>PKF-THAI-01154</t>
  </si>
  <si>
    <t>ภาณุวัฒน์</t>
  </si>
  <si>
    <t>แย้มสุข</t>
  </si>
  <si>
    <t>Panuwat</t>
  </si>
  <si>
    <t>Yamsuk</t>
  </si>
  <si>
    <t>https://drive.google.com/file/d/11in1sttbdIZ7KI2VPGBBtKrFs2expeUo/view?usp=drivesdk</t>
  </si>
  <si>
    <t>เติ้ล</t>
  </si>
  <si>
    <t>OF2059298</t>
  </si>
  <si>
    <t>PKF-THAI-01155</t>
  </si>
  <si>
    <t>ประภาส</t>
  </si>
  <si>
    <t>ม่วงอากาศ</t>
  </si>
  <si>
    <t>Prapas</t>
  </si>
  <si>
    <t>Mungakas</t>
  </si>
  <si>
    <t>ป.2 ชั้น 40+ย.2.5 (32450.-บาท)</t>
  </si>
  <si>
    <t>https://drive.google.com/file/d/1UI4AGNiWheT7z_OlZ1SS5Z49I5CFXmck/view?usp=drivesdk</t>
  </si>
  <si>
    <t>ภาส</t>
  </si>
  <si>
    <t>0817052790</t>
  </si>
  <si>
    <t>prapasmuangakas@gmail.com</t>
  </si>
  <si>
    <t>OF2059769</t>
  </si>
  <si>
    <t>PKF-THAI-01156</t>
  </si>
  <si>
    <t>ภูธเนศ</t>
  </si>
  <si>
    <t>ลัทธิรมย์</t>
  </si>
  <si>
    <t>Putanet</t>
  </si>
  <si>
    <t>Latthirom</t>
  </si>
  <si>
    <t>นายสิบคลังเครื่องมือ</t>
  </si>
  <si>
    <t>https://drive.google.com/file/d/152lFWwcRAuNFN6gckWJ0uxDdmEGomp0B/view?usp=drivesdk</t>
  </si>
  <si>
    <t>OF2059349</t>
  </si>
  <si>
    <t>PKF-THAI-01157</t>
  </si>
  <si>
    <t>ณัฐพงศ์</t>
  </si>
  <si>
    <t>พิพัฒน์สำโรง</t>
  </si>
  <si>
    <t>Natthaphong</t>
  </si>
  <si>
    <t>Phiphatsamrong</t>
  </si>
  <si>
    <t>ป.1 ชั้น 32.5 (17290.-บาท)</t>
  </si>
  <si>
    <t>https://drive.google.com/file/d/1R59N82lT4Xe8LCjrn4TfpjWdmhMS2h_Y/view?usp=drivesdk</t>
  </si>
  <si>
    <t>โบ๊ท</t>
  </si>
  <si>
    <t>0937815161</t>
  </si>
  <si>
    <t>boat250938boat@gmail.com</t>
  </si>
  <si>
    <t>OF2059299</t>
  </si>
  <si>
    <t>PKF-THAI-01275</t>
  </si>
  <si>
    <t>น.1 ชั้น 28 (21880.-บาท)</t>
  </si>
  <si>
    <t>https://drive.google.com/file/d/1sLZt9TuQsIUaRdjUWDkJJRTAb1ChHn5w/view?usp=drivesdk</t>
  </si>
  <si>
    <t>ฝน</t>
  </si>
  <si>
    <t>OF2059468</t>
  </si>
  <si>
    <t>PKF-THAI-01276</t>
  </si>
  <si>
    <t>ทัศนพงศ์</t>
  </si>
  <si>
    <t>คงสำราญ</t>
  </si>
  <si>
    <t>Thatsanapong</t>
  </si>
  <si>
    <t>Kongsamran</t>
  </si>
  <si>
    <t>พลประจำรถกู้ ช.พัน.51</t>
  </si>
  <si>
    <t>ป.2 ชั้น 35.5 (25890.-บาท)</t>
  </si>
  <si>
    <t>https://drive.google.com/file/d/1ky9f5pNG9SAlHY5QpobG0NPVgQRTvggw/view?usp=drivesdk</t>
  </si>
  <si>
    <t>ทัศ</t>
  </si>
  <si>
    <t>0838604190</t>
  </si>
  <si>
    <t>Thatsanapong2528@gmail.com</t>
  </si>
  <si>
    <t>OF2059418</t>
  </si>
  <si>
    <t>PKF-THAI-01158</t>
  </si>
  <si>
    <t>ศุทธวีร์</t>
  </si>
  <si>
    <t>เทพนิมิตร</t>
  </si>
  <si>
    <t>Suttawee</t>
  </si>
  <si>
    <t>Tapnimit</t>
  </si>
  <si>
    <t>นายสิบกำกับการก่อสร้าง</t>
  </si>
  <si>
    <t>ช่างวิทยุ ร้อย.บก.พล.ช.</t>
  </si>
  <si>
    <t>ป.1 ชั้น 29 (15540.-บาท)</t>
  </si>
  <si>
    <t>https://drive.google.com/file/d/1awk_XkuYYuK7YmoePAeTT18wHJFh8t3s/view?usp=drivesdk</t>
  </si>
  <si>
    <t>อั้ม</t>
  </si>
  <si>
    <t>aum9395</t>
  </si>
  <si>
    <t>tot_aumza@hotmail.com</t>
  </si>
  <si>
    <t>OF2059422</t>
  </si>
  <si>
    <t>PKF-THAI-01277</t>
  </si>
  <si>
    <t>อภิชาติ</t>
  </si>
  <si>
    <t>จำเหล่</t>
  </si>
  <si>
    <t>Apichat</t>
  </si>
  <si>
    <t>Jamle</t>
  </si>
  <si>
    <t>พลประจำรถตอกเสาเข็ม พัน.ช.คมศ.พล.ช.</t>
  </si>
  <si>
    <t>ป.2 ชั้น 34 (24800.-บาท)</t>
  </si>
  <si>
    <t>https://drive.google.com/file/d/1lg3pmESfne-_lSJ2WoVCXC_x3pEMmzQ2/view?usp=drivesdk</t>
  </si>
  <si>
    <t>0815271750</t>
  </si>
  <si>
    <t>apichat0203j@gmail.com</t>
  </si>
  <si>
    <t>OF2059772</t>
  </si>
  <si>
    <t>PKF-THAI-01278</t>
  </si>
  <si>
    <t>เชาวฤทธิ์</t>
  </si>
  <si>
    <t>คำแผ่น</t>
  </si>
  <si>
    <t>Chaowarit</t>
  </si>
  <si>
    <t>Kampan</t>
  </si>
  <si>
    <t>พลประจำ รยบ.ปกติขนาดใหญ่</t>
  </si>
  <si>
    <t>https://drive.google.com/file/d/16olL2FLbJrHb1-poJQQ2ap9XnTJCA6r6/view?usp=drivesdk</t>
  </si>
  <si>
    <t>ใหม่</t>
  </si>
  <si>
    <t>Punchao_we</t>
  </si>
  <si>
    <t>chaowarit_mai@hotmail.com</t>
  </si>
  <si>
    <t>OF2059469</t>
  </si>
  <si>
    <t>PKF-THAI-01279</t>
  </si>
  <si>
    <t>สุรศักดิ์</t>
  </si>
  <si>
    <t>มากนุ่น</t>
  </si>
  <si>
    <t>Surasak</t>
  </si>
  <si>
    <t>Maknun</t>
  </si>
  <si>
    <t>พลประจำรถปั้นจั่น พัน.ช.คมศ.พล.ช.</t>
  </si>
  <si>
    <t>ป.3 ชั้น 35.5 (36990.-บาท)</t>
  </si>
  <si>
    <t>https://drive.google.com/file/d/1DrRmVTMNxMJUQRFHdsLlOyM-aL9BvVOE/view?usp=drivesdk</t>
  </si>
  <si>
    <t>จ.เบิก</t>
  </si>
  <si>
    <t xml:space="preserve">foiod123 </t>
  </si>
  <si>
    <t>surasak140seeb@gmail.com</t>
  </si>
  <si>
    <t>OF2059420</t>
  </si>
  <si>
    <t>PKF-THAI-01280</t>
  </si>
  <si>
    <t>จิรศักดิ์</t>
  </si>
  <si>
    <t>จำปาซ่อนกลิ่น</t>
  </si>
  <si>
    <t>Jirasak</t>
  </si>
  <si>
    <t>Champasonklin</t>
  </si>
  <si>
    <t>พลประจำรถปั้นจั่น 20 ตัน</t>
  </si>
  <si>
    <t>ช่างซ่อมแก้เครื่องมือกล ช.11 พัน.111</t>
  </si>
  <si>
    <t>https://drive.google.com/file/d/1q-Ix_FUnEr1MqZX7PSynNIBGTBWNRqnB/view?usp=drivesdk</t>
  </si>
  <si>
    <t>ตี๋</t>
  </si>
  <si>
    <t>jirasaktee09</t>
  </si>
  <si>
    <t>teechampasonklin@gmail.com</t>
  </si>
  <si>
    <t>OF2059421</t>
  </si>
  <si>
    <t>PKF-THAI-01159</t>
  </si>
  <si>
    <t>ศุภชัย</t>
  </si>
  <si>
    <t>ฟอกสันเทียะ</t>
  </si>
  <si>
    <t>Supachai</t>
  </si>
  <si>
    <t>Fogsantia</t>
  </si>
  <si>
    <t>พลประจำรถตักหน้าขุดหลัง</t>
  </si>
  <si>
    <t>ช่างเครื่องจักร พัน.ช.คมศ.พล.ช.</t>
  </si>
  <si>
    <t>https://drive.google.com/file/d/1nPSyc3RX-TwtSVj9IsJZvEh1b7YcKFJD/view?usp=drivesdk</t>
  </si>
  <si>
    <t>อ๊อด</t>
  </si>
  <si>
    <t>mtts4646</t>
  </si>
  <si>
    <t>aodaod_46@hotmail.com</t>
  </si>
  <si>
    <t>OF2059471</t>
  </si>
  <si>
    <t>PKF-THAI-01281</t>
  </si>
  <si>
    <t>สาธิต</t>
  </si>
  <si>
    <t>ท้วมสุข</t>
  </si>
  <si>
    <t>Satit</t>
  </si>
  <si>
    <t>Turmsuk</t>
  </si>
  <si>
    <t>ช่างไม้-ช่างปูน/พลประจำรถบรรทุกน้ำ</t>
  </si>
  <si>
    <t>พลสูทกรรม พัน.ช.คมศ.พล.ช.</t>
  </si>
  <si>
    <t>https://drive.google.com/file/d/1SBtGXUEg2p0wDlSF8hoilqZr536yQEAB/view?usp=drivesdk</t>
  </si>
  <si>
    <t>แซม</t>
  </si>
  <si>
    <t>sam253219</t>
  </si>
  <si>
    <t>trum_1@hotmail.com</t>
  </si>
  <si>
    <t>OF2059424</t>
  </si>
  <si>
    <t>PKF-THAI-01282</t>
  </si>
  <si>
    <t>ภานุวัฒน์</t>
  </si>
  <si>
    <t>แจ่มพลาย</t>
  </si>
  <si>
    <t>Jaemphai</t>
  </si>
  <si>
    <t>ช่างไม้-ช่างปูน/พลประจำรถยนต์บรรทุกเทท้าย</t>
  </si>
  <si>
    <t>ช่างซ่อมเครื่องมือการช่าง พัน.ช.คมศ.พล.ช.</t>
  </si>
  <si>
    <t>ป.1 ชั้น 23 (12560.-บาท)</t>
  </si>
  <si>
    <t>https://drive.google.com/file/d/1_--SldPOWP2_aAO-6lWhMuZSgibl63PW/view?usp=drivesdk</t>
  </si>
  <si>
    <t>m1166auto</t>
  </si>
  <si>
    <t>panuwatjpm@gmail.com</t>
  </si>
  <si>
    <t>OF2059423</t>
  </si>
  <si>
    <t>PKF-THAI-01160</t>
  </si>
  <si>
    <t xml:space="preserve">จ.ส.ต.
</t>
  </si>
  <si>
    <t>พวงทอง</t>
  </si>
  <si>
    <t>Chirayut</t>
  </si>
  <si>
    <t>Phuangthong</t>
  </si>
  <si>
    <t>พลวิทยุ ร้อย.บก.ช.11</t>
  </si>
  <si>
    <t>ป.2 ชั้น 23.5 (18190.-บาท)</t>
  </si>
  <si>
    <t>https://drive.google.com/file/d/1W6L_8fq-x0AoCFGbSB2dUUS2Mgb0X_wA/view?usp=drivesdk</t>
  </si>
  <si>
    <t>แบล็ค</t>
  </si>
  <si>
    <t>black_ji</t>
  </si>
  <si>
    <t>blackjirayut2023@gmail.com</t>
  </si>
  <si>
    <t>OF2059775</t>
  </si>
  <si>
    <t>PKF-THAI-01161</t>
  </si>
  <si>
    <t>จิรพณฑ์</t>
  </si>
  <si>
    <t>เล่ห์กล</t>
  </si>
  <si>
    <t>Jirapon</t>
  </si>
  <si>
    <t>Leakon</t>
  </si>
  <si>
    <t>ช่างไม้-ช่างปูน/พลประจำ รยบ.ขนาด 2 1/2 ตัน</t>
  </si>
  <si>
    <t>พลประจำรถโกยตัก พัน.ช.คมศ.พล.ช.</t>
  </si>
  <si>
    <t>ป.2 ชั้น 27.5 (20640.-บาท)</t>
  </si>
  <si>
    <t>https://drive.google.com/file/d/1ESAfFw8nNmSgPWj7i5eytFezpYOBbzsg/view?usp=drivesdk</t>
  </si>
  <si>
    <t>น๊อต</t>
  </si>
  <si>
    <t>leakon255</t>
  </si>
  <si>
    <t>notzaza650@gmail.com</t>
  </si>
  <si>
    <t>OF2059426</t>
  </si>
  <si>
    <t>PKF-THAI-01162</t>
  </si>
  <si>
    <t>ชลวัฒน์</t>
  </si>
  <si>
    <t>ยิ้มสะอาด</t>
  </si>
  <si>
    <t>Chonlawat</t>
  </si>
  <si>
    <t>Yimsaard</t>
  </si>
  <si>
    <t>ช่างประปา-สุขาภิบาล</t>
  </si>
  <si>
    <t>พลขับรถ พัน.ช.กช.ร้อย.1</t>
  </si>
  <si>
    <t>https://drive.google.com/file/d/16HCB6D6kCbqDDjcwr_3WDS-lAymOYrbu/view?usp=drivesdk</t>
  </si>
  <si>
    <t>นิว</t>
  </si>
  <si>
    <t>OF2059430</t>
  </si>
  <si>
    <t>PKF-THAI-01283</t>
  </si>
  <si>
    <t>ชิติสรรค์</t>
  </si>
  <si>
    <t>ชยธิการ</t>
  </si>
  <si>
    <t>Chitisan</t>
  </si>
  <si>
    <t>Chayathikan</t>
  </si>
  <si>
    <t>ช่างเชื่อม</t>
  </si>
  <si>
    <t>061-9797195</t>
  </si>
  <si>
    <t>https://drive.google.com/file/d/1WW4ySgAQgEO2sDugV7luysU9pWKq4wwf/view?usp=drivesdk</t>
  </si>
  <si>
    <t>นุ</t>
  </si>
  <si>
    <t>OF2059429</t>
  </si>
  <si>
    <t>PKF-THAI-01284</t>
  </si>
  <si>
    <t>สุวัฒน์</t>
  </si>
  <si>
    <t>ครุฑเครือ</t>
  </si>
  <si>
    <t>Suwat</t>
  </si>
  <si>
    <t>Krutkruea</t>
  </si>
  <si>
    <t>ช่างไฟฟ้า</t>
  </si>
  <si>
    <t>นายสิบสูทกรรม ช.11 พัน.111</t>
  </si>
  <si>
    <t>ป.2 ชั้น 24.5 (18790.-บาท)</t>
  </si>
  <si>
    <t>https://drive.google.com/file/d/1gxla-xiiRApXCDJo_PyVhH_kuvDI_-zk/view?usp=drivesdk</t>
  </si>
  <si>
    <t>0909838610</t>
  </si>
  <si>
    <t>note.suwat@gmail.com</t>
  </si>
  <si>
    <t>OF2059428</t>
  </si>
  <si>
    <t>PKF-THAI-01285</t>
  </si>
  <si>
    <t>มัชมี</t>
  </si>
  <si>
    <t>Matchamee</t>
  </si>
  <si>
    <t>ช่างไม้ก่อสร้างอาวุโส ช.11 พัน.602</t>
  </si>
  <si>
    <t>https://drive.google.com/file/d/1jdghAhkJfhxo_8aB9GNPeq9OePH4oC4c/view?usp=drivesdk</t>
  </si>
  <si>
    <t>aekchai_11</t>
  </si>
  <si>
    <t>Aekchai60225@gmail.com</t>
  </si>
  <si>
    <t>OF2059432</t>
  </si>
  <si>
    <t>PKF-THAI-01163</t>
  </si>
  <si>
    <t>อนันตชัย</t>
  </si>
  <si>
    <t>ดวงดารา</t>
  </si>
  <si>
    <t>Anantachai</t>
  </si>
  <si>
    <t>Duangdara</t>
  </si>
  <si>
    <t>พลประจำรถปั้นจั่น  20  ตัน</t>
  </si>
  <si>
    <t>ช่างซ่อมแก้เครื่องมือกล ช.11 พัน.602</t>
  </si>
  <si>
    <t>https://drive.google.com/file/d/1rl-wSw7Y0JmaNg30hWo5pKKssjeWwkdm/view?usp=drivesdk</t>
  </si>
  <si>
    <t>m-kwan</t>
  </si>
  <si>
    <t>manantachai240437@gmail.com</t>
  </si>
  <si>
    <t>OF2059427</t>
  </si>
  <si>
    <t>PKF-THAI-01164</t>
  </si>
  <si>
    <t>วารุฒ</t>
  </si>
  <si>
    <t>อาจปักษา</t>
  </si>
  <si>
    <t>Warut</t>
  </si>
  <si>
    <t>Achpaksa</t>
  </si>
  <si>
    <t>พลประจำรถบรรทุกวัสดุประกอบเครื่องยก</t>
  </si>
  <si>
    <t>พลประจำรถราดยาง ช.11 พัน.602</t>
  </si>
  <si>
    <t>ป.2 ชั้น 25.5 (19420.-บาท)</t>
  </si>
  <si>
    <t>https://drive.google.com/file/d/1LyOE0IB_KHZe5YtxnGkRzfiz6QEQp-oX/view?usp=drivesdk</t>
  </si>
  <si>
    <t>รุท</t>
  </si>
  <si>
    <t>Warut9635</t>
  </si>
  <si>
    <t>warutachpaksa@gmail.com</t>
  </si>
  <si>
    <t>OF2059431</t>
  </si>
  <si>
    <t>PKF-THAI-01165</t>
  </si>
  <si>
    <t>กฤตนู</t>
  </si>
  <si>
    <t>เปรมยิ่ง</t>
  </si>
  <si>
    <t>Krittanoo</t>
  </si>
  <si>
    <t>Prameying</t>
  </si>
  <si>
    <t>เสมียนพิมพ์ดีด ฝกบ.พล.ช.</t>
  </si>
  <si>
    <t>https://drive.google.com/file/d/1zhT8Uswh7_dZLnS6J5C9emrj7kY6Sb0n/view?usp=drivesdk</t>
  </si>
  <si>
    <t>เจม</t>
  </si>
  <si>
    <t>ktn.jibi</t>
  </si>
  <si>
    <t>ktn.jame@gmail.com</t>
  </si>
  <si>
    <t>OF2059425</t>
  </si>
  <si>
    <t>PKF-THAI-01166</t>
  </si>
  <si>
    <t>พัทธนันท์</t>
  </si>
  <si>
    <t>สิงหา</t>
  </si>
  <si>
    <t>Phatthanan</t>
  </si>
  <si>
    <t>Singha</t>
  </si>
  <si>
    <t>พลขับรถ ช.11 พัน.602</t>
  </si>
  <si>
    <t>ป.1 ชั้น 21 (11630.-บาท)</t>
  </si>
  <si>
    <t>https://drive.google.com/file/d/1E22k-8RLMeKSVPd5JVk--iSkEI0Z7yG8/view?usp=drivesdk</t>
  </si>
  <si>
    <t>ไมค์</t>
  </si>
  <si>
    <t>maik2204</t>
  </si>
  <si>
    <t>puttanun.2539@gmail.com</t>
  </si>
  <si>
    <t>OF2059446</t>
  </si>
  <si>
    <t>PKF-THAI-01167</t>
  </si>
  <si>
    <t>ศักรินทร์</t>
  </si>
  <si>
    <t>เสียงอ่อน</t>
  </si>
  <si>
    <t>Sakkarin</t>
  </si>
  <si>
    <t>Siangon</t>
  </si>
  <si>
    <t>พลประจำเครื่องอัดลม พัน.ช.กช.ร้อย.1</t>
  </si>
  <si>
    <t>https://drive.google.com/file/d/1w5Z52GAqBhnsq9AuGq1vkAF9-OvU0qju/view?usp=drivesdk</t>
  </si>
  <si>
    <t>เก่ง</t>
  </si>
  <si>
    <t>kengnoonarak</t>
  </si>
  <si>
    <t>kengnoo@hotmail.com</t>
  </si>
  <si>
    <t>OF2059436</t>
  </si>
  <si>
    <t>PKF-THAI-01168</t>
  </si>
  <si>
    <t>อุดมศักดิ์</t>
  </si>
  <si>
    <t>นิลฉวี</t>
  </si>
  <si>
    <t>Audomsak</t>
  </si>
  <si>
    <t>Ninchawee</t>
  </si>
  <si>
    <t>เสมียนบักทึกงาน ช.11 พัน.602</t>
  </si>
  <si>
    <t>https://drive.google.com/file/d/19dsHS3MM6xYkKOsKFllehqWb4uf-OAI9/view?usp=drivesdk</t>
  </si>
  <si>
    <t>เปา</t>
  </si>
  <si>
    <t>paoads</t>
  </si>
  <si>
    <t>audomsak12345@hotmail.com</t>
  </si>
  <si>
    <t>OF2059434</t>
  </si>
  <si>
    <t>PKF-THAI-01286</t>
  </si>
  <si>
    <t>กิตติพศ</t>
  </si>
  <si>
    <t>ใจหนัก</t>
  </si>
  <si>
    <t>Kittipot</t>
  </si>
  <si>
    <t>Jainak</t>
  </si>
  <si>
    <t>ช่างประปา-สุขาภิบาล/พลประจำรยบ.ขนาด 2 1/2 ตัน</t>
  </si>
  <si>
    <t>พลวิทยุอาวุโส ช.11 พัน.602</t>
  </si>
  <si>
    <t>ป.1 ชั้น 24 (13070.-บาท)</t>
  </si>
  <si>
    <t>https://drive.google.com/file/d/1ocUSp13XOGMhXpdQEeMX4iNtOPMyZ_tm/view?usp=drivesdk</t>
  </si>
  <si>
    <t>oasiszero</t>
  </si>
  <si>
    <t>oasiszero11@hotmail.com</t>
  </si>
  <si>
    <t>OF2059433</t>
  </si>
  <si>
    <t>PKF-THAI-01169</t>
  </si>
  <si>
    <t>ประทิน</t>
  </si>
  <si>
    <t>สีสม</t>
  </si>
  <si>
    <t>Pratin</t>
  </si>
  <si>
    <t>Sisom</t>
  </si>
  <si>
    <t>https://drive.google.com/file/d/1iVfh3CyhoD7rd1zrjjk5MUy36cwwI0zi/view?usp=drivesdk</t>
  </si>
  <si>
    <t>แม็ก</t>
  </si>
  <si>
    <t>0806501708</t>
  </si>
  <si>
    <t>Max.pratin@gmail.com</t>
  </si>
  <si>
    <t>OF2059776</t>
  </si>
  <si>
    <t>PKF-THAI-01170</t>
  </si>
  <si>
    <t>ฤกษ์ชัย</t>
  </si>
  <si>
    <t>มากอิ่ม</t>
  </si>
  <si>
    <t>Reakchai</t>
  </si>
  <si>
    <t>Makim</t>
  </si>
  <si>
    <t>https://drive.google.com/file/d/1cR6CCOu0Ug3rMBlSS7GSRpCsDs6AMuLa/view?usp=drivesdk</t>
  </si>
  <si>
    <t>บอย</t>
  </si>
  <si>
    <t>teccomclick</t>
  </si>
  <si>
    <t>makreakchai@gmail.com</t>
  </si>
  <si>
    <t>OF2059474</t>
  </si>
  <si>
    <t>PKF-THAI-01287</t>
  </si>
  <si>
    <t>พิเชษฐ</t>
  </si>
  <si>
    <t>ชุ่มเชื้อ</t>
  </si>
  <si>
    <t>Phichet</t>
  </si>
  <si>
    <t>Chumchuea</t>
  </si>
  <si>
    <t>ช่างเครื่องมือกล ช.พัน.51</t>
  </si>
  <si>
    <t>ป.2 ชั้น 36 (26270.-บาท)</t>
  </si>
  <si>
    <t>https://drive.google.com/file/d/1VrWZ36cIall9gtQ2Ukde_UgT7QlA7MFt/view?usp=drivesdk</t>
  </si>
  <si>
    <t>หมึก</t>
  </si>
  <si>
    <t>Phichet143</t>
  </si>
  <si>
    <t>vdtac53@gmail.com</t>
  </si>
  <si>
    <t>OF2059781</t>
  </si>
  <si>
    <t>PKF-THAI-01171</t>
  </si>
  <si>
    <t>วรพจน์</t>
  </si>
  <si>
    <t>จูประสงค์</t>
  </si>
  <si>
    <t>Worraphot</t>
  </si>
  <si>
    <t>Juprasong</t>
  </si>
  <si>
    <t>พลขับรถ ช.พัน.51</t>
  </si>
  <si>
    <t>https://drive.google.com/file/d/1yi620IwUq3JdPcj0FBA8-dG4hUTqPD-y/view?usp=drivesdk</t>
  </si>
  <si>
    <t>เขียว</t>
  </si>
  <si>
    <t>1504901153</t>
  </si>
  <si>
    <t>greennam111@gmail.com</t>
  </si>
  <si>
    <t>OF2059439</t>
  </si>
  <si>
    <t>PKF-THAI-01172</t>
  </si>
  <si>
    <t>ภาณุพงศ์</t>
  </si>
  <si>
    <t>กิ่งวิชิต</t>
  </si>
  <si>
    <t>Panupong</t>
  </si>
  <si>
    <t>Kingwichit</t>
  </si>
  <si>
    <t>พลประจำรถตักบรรทุก ช.พัน.51</t>
  </si>
  <si>
    <t>https://drive.google.com/file/d/1xHr-Lwkwwa3dh0q7_Q_D_3jVXmUD9ZMy/view?usp=drivesdk</t>
  </si>
  <si>
    <t>ฟลุ๊ค</t>
  </si>
  <si>
    <t>pnp.fluke</t>
  </si>
  <si>
    <t>panupong49765@gmail.com</t>
  </si>
  <si>
    <t>OF2059438</t>
  </si>
  <si>
    <t>PKF-THAI-01173</t>
  </si>
  <si>
    <t>ปิยวัฒน์</t>
  </si>
  <si>
    <t>หมู่เมี่ยง</t>
  </si>
  <si>
    <t>Piyawat</t>
  </si>
  <si>
    <t>Moomeing</t>
  </si>
  <si>
    <t>ผู้บังคับหมู่ ช.พัน.51</t>
  </si>
  <si>
    <t>ป.2 ชั้น 26.5 (20030.-บาท)</t>
  </si>
  <si>
    <t>0800255582​</t>
  </si>
  <si>
    <t>https://drive.google.com/file/d/1j7wHN6VtHzcGOx_hZGgR1qWwXUVnHwwo/view?usp=drivesdk</t>
  </si>
  <si>
    <t>หยก</t>
  </si>
  <si>
    <t>puy.yoke</t>
  </si>
  <si>
    <t>piyawatmoomeing@gmail.com</t>
  </si>
  <si>
    <t>OF2025518</t>
  </si>
  <si>
    <t>PKF-THAI-01288</t>
  </si>
  <si>
    <t>เทียนศิริ</t>
  </si>
  <si>
    <t>Thiansiri</t>
  </si>
  <si>
    <t>ช่างวิทยุ ช.พัน.51</t>
  </si>
  <si>
    <t>https://drive.google.com/file/d/1ZLWTbTQ54GTuxICYFIlGIXiiMYuCt9bP/view?usp=drivesdk</t>
  </si>
  <si>
    <t>เม่น</t>
  </si>
  <si>
    <t>arnonmen</t>
  </si>
  <si>
    <t>asp0924941585@gmail.com</t>
  </si>
  <si>
    <t>OF2059440</t>
  </si>
  <si>
    <t>PKF-THAI-01174</t>
  </si>
  <si>
    <t>ผดุงเกียรติ</t>
  </si>
  <si>
    <t>ชูช่วย</t>
  </si>
  <si>
    <t>Phadungkiat</t>
  </si>
  <si>
    <t>Choochuay</t>
  </si>
  <si>
    <t>https://drive.google.com/file/d/1wjCWsZ8PzN39kXzSzgPpiy2V1dIkgg8b/view?usp=drivesdk</t>
  </si>
  <si>
    <t>คัตเตอร์</t>
  </si>
  <si>
    <t>cutter2536</t>
  </si>
  <si>
    <t>cutter210136@gmail.com</t>
  </si>
  <si>
    <t>OF2059782</t>
  </si>
  <si>
    <t>PKF-THAI-01175</t>
  </si>
  <si>
    <t>สันติสุข</t>
  </si>
  <si>
    <t>กิจนพศรี</t>
  </si>
  <si>
    <t>Santisuk</t>
  </si>
  <si>
    <t>Kijnopasri</t>
  </si>
  <si>
    <t>ช่างยานยนต์ล้อ ช.พัน.51</t>
  </si>
  <si>
    <t>https://drive.google.com/file/d/1JFZHGXAza9aWRVioimXmG5TgvyZadQmQ/view?usp=drivesdk</t>
  </si>
  <si>
    <t>จิ๋ว</t>
  </si>
  <si>
    <t>jewipt</t>
  </si>
  <si>
    <t>santisuk.ki@gmail.com</t>
  </si>
  <si>
    <t>OF2059441</t>
  </si>
  <si>
    <t>PKF-THAI-01289</t>
  </si>
  <si>
    <t>ชนินทร์</t>
  </si>
  <si>
    <t>พุ่มแก้ว</t>
  </si>
  <si>
    <t>Chanin</t>
  </si>
  <si>
    <t>Poomkaow</t>
  </si>
  <si>
    <t>เสมียน กกพ.กช.</t>
  </si>
  <si>
    <t>https://drive.google.com/file/d/1c4Ow8SoizCp_I9GKfHecEWbOa_1VBrPA/view?usp=drivesdk</t>
  </si>
  <si>
    <t>flukcp</t>
  </si>
  <si>
    <t>chanincp26@gmail.com</t>
  </si>
  <si>
    <t>OF2059437</t>
  </si>
  <si>
    <t>PKF-THAI-01176</t>
  </si>
  <si>
    <t>อบแค</t>
  </si>
  <si>
    <t>Aumnaj</t>
  </si>
  <si>
    <t>Obcare</t>
  </si>
  <si>
    <t>https://drive.google.com/file/d/10AwArAiWGZh0Y41LS0geyiQLDu5QPElu/view?usp=drivesdk</t>
  </si>
  <si>
    <t>บิน</t>
  </si>
  <si>
    <t>0845705493</t>
  </si>
  <si>
    <t>Aummaj2336@gmail.com</t>
  </si>
  <si>
    <t>OF2059787</t>
  </si>
  <si>
    <t>PKF-THAI-01177</t>
  </si>
  <si>
    <t>สมาน</t>
  </si>
  <si>
    <t>เจียมจันทร์</t>
  </si>
  <si>
    <t>Sahman</t>
  </si>
  <si>
    <t>Jaemjan</t>
  </si>
  <si>
    <t>https://drive.google.com/file/d/1lIaSjkMrM0KWwUP9mu7Qy8pzZvXy85ho/view?usp=drivesdk</t>
  </si>
  <si>
    <t>0960873331</t>
  </si>
  <si>
    <t>saman.moo15@gmail.com</t>
  </si>
  <si>
    <t>OF2059442</t>
  </si>
  <si>
    <t>PKF-THAI-01290</t>
  </si>
  <si>
    <t>น.2 ชั้น 29+ย.4 (44130.-บาท)</t>
  </si>
  <si>
    <t>https://drive.google.com/file/d/1Lri5USOe80fZw-VmmoYPqHrGsGQpTH8b/view?usp=drivesdk</t>
  </si>
  <si>
    <t>อ๋อ</t>
  </si>
  <si>
    <t>aor_aladin</t>
  </si>
  <si>
    <t>aoraladin32@gmail.com</t>
  </si>
  <si>
    <t>OF2059443</t>
  </si>
  <si>
    <t>PKF-THAI-01291</t>
  </si>
  <si>
    <t>https://drive.google.com/file/d/15GB9IQw1hzRJ4CXWQYnG-T26iZkeWpRA/view?usp=drivesdk</t>
  </si>
  <si>
    <t>แบงก์</t>
  </si>
  <si>
    <t>0954726699</t>
  </si>
  <si>
    <t>sutthiphong.thipthama@gmail.com</t>
  </si>
  <si>
    <t>OF2059785</t>
  </si>
  <si>
    <t>PKF-THAI-01178</t>
  </si>
  <si>
    <t>ปาลิกา</t>
  </si>
  <si>
    <t>เจริญสุข</t>
  </si>
  <si>
    <t>Pariga</t>
  </si>
  <si>
    <t>Charoensuk</t>
  </si>
  <si>
    <t>นายสิบประจำหมวด</t>
  </si>
  <si>
    <t>ป.1 ชั้น 20 (11180.-บาท)</t>
  </si>
  <si>
    <t>https://drive.google.com/file/d/12-0vI5bL_xRiLaVuroTTydqgEjjzSXKb/view?usp=drivesdk</t>
  </si>
  <si>
    <t>แอมป์</t>
  </si>
  <si>
    <t>0613018365</t>
  </si>
  <si>
    <t>knkprapa2108@gmail.com</t>
  </si>
  <si>
    <t>OF2059778</t>
  </si>
  <si>
    <t>PKF-THAI-01292</t>
  </si>
  <si>
    <t>นนทวัฒน์</t>
  </si>
  <si>
    <t>อรุณมณี</t>
  </si>
  <si>
    <t>Nontawat</t>
  </si>
  <si>
    <t>Arunmanee</t>
  </si>
  <si>
    <t>นายสิบคลัง กคช.กช.</t>
  </si>
  <si>
    <t>ป.2 ชั้น 22 (17270.-บาท)</t>
  </si>
  <si>
    <t>https://drive.google.com/file/d/1-buk73uK3Nrkr1qV-5n-lfErIilawuwN/view?usp=drivesdk</t>
  </si>
  <si>
    <t>เกมส์</t>
  </si>
  <si>
    <t>game459</t>
  </si>
  <si>
    <t>game73193@gmail.com</t>
  </si>
  <si>
    <t>OF2025499</t>
  </si>
  <si>
    <t>PKF-THAI-01293</t>
  </si>
  <si>
    <t>ธีรภัทร</t>
  </si>
  <si>
    <t>ใจดี</t>
  </si>
  <si>
    <t>Thiraphat</t>
  </si>
  <si>
    <t>Jaidee</t>
  </si>
  <si>
    <t>หัวหน้าตอน</t>
  </si>
  <si>
    <t>นายสิบขนส่ง ร้อย.บก.ช.21</t>
  </si>
  <si>
    <t>ป.2 ชั้น 30.5 (22490.-บาท)</t>
  </si>
  <si>
    <t>https://drive.google.com/file/d/1TvTBAgXfOSguWqs-HnBKdAs6-xiNmvKW/view?usp=drivesdk</t>
  </si>
  <si>
    <t>แซ็ค</t>
  </si>
  <si>
    <t xml:space="preserve">Engineer81 </t>
  </si>
  <si>
    <t>teraphatjaidee@gmail.com</t>
  </si>
  <si>
    <t>OF2025760</t>
  </si>
  <si>
    <t>PKF-THAI-01294</t>
  </si>
  <si>
    <t>พุทธชาติ</t>
  </si>
  <si>
    <t>Thanawat</t>
  </si>
  <si>
    <t>Putthachart</t>
  </si>
  <si>
    <t>นายสิบคลังเครื่องมือชิ้นส่วนซ่อม</t>
  </si>
  <si>
    <t>พลประจำรถถากถาง พัน.ช.คมศ.พล.ช.</t>
  </si>
  <si>
    <t>https://drive.google.com/file/d/1nPzk2cjF7giWy6pzqTZkENgyeYfTl2DT/view?usp=drivesdk</t>
  </si>
  <si>
    <t>quinxy.bm</t>
  </si>
  <si>
    <t>alangascall.12@gmail.com</t>
  </si>
  <si>
    <t>OF2059464</t>
  </si>
  <si>
    <t>PKF-THAI-01295</t>
  </si>
  <si>
    <t>ไนยชน</t>
  </si>
  <si>
    <t>สุขศาสตร์</t>
  </si>
  <si>
    <t>Naiyachon</t>
  </si>
  <si>
    <t>Suksat</t>
  </si>
  <si>
    <t>นายสิบการประปา/พลประจำเครื่องผลิตน้ำ</t>
  </si>
  <si>
    <t>นายสิบการประปา ตอน ช.ประปาสนาม</t>
  </si>
  <si>
    <t>https://drive.google.com/file/d/10anPeCx8-zy_IguoODYapDN9w-aT_gLM/view?usp=drivesdk</t>
  </si>
  <si>
    <t>สตางค์</t>
  </si>
  <si>
    <t>satang30329</t>
  </si>
  <si>
    <t>satangbang718@gmail.com</t>
  </si>
  <si>
    <t>OF2059462</t>
  </si>
  <si>
    <t>PKF-THAI-01296</t>
  </si>
  <si>
    <t>ปัฐวี</t>
  </si>
  <si>
    <t>ชวนชม</t>
  </si>
  <si>
    <t>Pattwee</t>
  </si>
  <si>
    <t>Chonchom</t>
  </si>
  <si>
    <t>นายสิบส่งกำลัง/ช่างซ่อมเครื่องปรับอากาศ</t>
  </si>
  <si>
    <t>พลสูทกรรม ร้อย.ช.ซบร.สนาม</t>
  </si>
  <si>
    <t>https://drive.google.com/file/d/1tRYMf4F8WVOzKN5wa9u2Np6_bAgw_h-0/view?usp=drivesdk</t>
  </si>
  <si>
    <t>ตูมตาม</t>
  </si>
  <si>
    <t>Toomtam032</t>
  </si>
  <si>
    <t>Pattwee4980@gmail.com</t>
  </si>
  <si>
    <t>OF2059461</t>
  </si>
  <si>
    <t>PKF-THAI-01297</t>
  </si>
  <si>
    <t>เมธัส</t>
  </si>
  <si>
    <t>พนมวิจิตร</t>
  </si>
  <si>
    <t>Metas</t>
  </si>
  <si>
    <t>Panomvijit</t>
  </si>
  <si>
    <t>ช่างซ่อมเครื่องกลไฟฟ้า มว.ซ่อมยุทโธปกรณ์พิเศษ ร้อย.ช.ซบร.สนาม</t>
  </si>
  <si>
    <t>https://drive.google.com/file/d/1bwS4hXaGvBLNOLpG4osJq0xVW0UpsQ1q/view?usp=drivesdk</t>
  </si>
  <si>
    <t>น็อต</t>
  </si>
  <si>
    <t>Nott.pv</t>
  </si>
  <si>
    <t>Metasnot2543@gmail.com</t>
  </si>
  <si>
    <t>OF2059460</t>
  </si>
  <si>
    <t>PKF-THAI-01298</t>
  </si>
  <si>
    <t>สุพรรษา</t>
  </si>
  <si>
    <t>แสนคำปน</t>
  </si>
  <si>
    <t>Sapunsa</t>
  </si>
  <si>
    <t>Sankhampon</t>
  </si>
  <si>
    <t>นายสิบส่งกำลัง</t>
  </si>
  <si>
    <t>ป.1 ชั้น 18 (10280.-บาท)</t>
  </si>
  <si>
    <t>https://drive.google.com/file/d/1XRM5DHuo-NLlRGnPr4Wzub3LYUXURx_G/view?usp=drivesdk</t>
  </si>
  <si>
    <t>กิจ</t>
  </si>
  <si>
    <t>supansa.s_mk</t>
  </si>
  <si>
    <t>sankampon.19102537@gmail.com</t>
  </si>
  <si>
    <t>OF2059458</t>
  </si>
  <si>
    <t>PKF-THAI-01179</t>
  </si>
  <si>
    <t>ณัฐพันธ์</t>
  </si>
  <si>
    <t>ลีพิลา</t>
  </si>
  <si>
    <t>Nattapan</t>
  </si>
  <si>
    <t>Leepila</t>
  </si>
  <si>
    <t>นายสิบส่งกำลัง/พลประจำรถยก โฟล์ค-ลิฟท์</t>
  </si>
  <si>
    <t>https://drive.google.com/file/d/1foDK0UQzzkbqQ0TUzHgbb4n0pV_JU07r/view?usp=drivesdk</t>
  </si>
  <si>
    <t>โว่</t>
  </si>
  <si>
    <t>0966470803</t>
  </si>
  <si>
    <t>nattapan2560@hotmail.com</t>
  </si>
  <si>
    <t>OF2059459</t>
  </si>
  <si>
    <t>PKF-THAI-01299</t>
  </si>
  <si>
    <t>ณรงค์เกียรติ</t>
  </si>
  <si>
    <t>เจริญพร</t>
  </si>
  <si>
    <t>Narongkeit</t>
  </si>
  <si>
    <t>Charounphon</t>
  </si>
  <si>
    <t>นายสิบคลัง สป.3/พลประจำรถบรรทุกน้ำมัน 12,000 ลิตร</t>
  </si>
  <si>
    <t>เสมียนศูนย์ข่าว ร้อย.บก.ช.11</t>
  </si>
  <si>
    <t>https://drive.google.com/file/d/1WF19OfNAWQaYWW8kTawEQgDL28cw5gSK/view?usp=drivesdk</t>
  </si>
  <si>
    <t>เจฟ</t>
  </si>
  <si>
    <t>0875449675</t>
  </si>
  <si>
    <t>mamoru2558@gmail.com</t>
  </si>
  <si>
    <t>OF2059621</t>
  </si>
  <si>
    <t>PKF-THAI-01180</t>
  </si>
  <si>
    <t>คำรณ</t>
  </si>
  <si>
    <t>แจ่มใส</t>
  </si>
  <si>
    <t>Khamron</t>
  </si>
  <si>
    <t>Chaemsai</t>
  </si>
  <si>
    <t>นายสิบส่งกำลัง ฝพธ.พล.ช.</t>
  </si>
  <si>
    <t>https://drive.google.com/file/d/1D1VP1yFIJc9H_VrNrasAbd70oxinasDy/view?usp=drivesdk</t>
  </si>
  <si>
    <t>Bankqm61</t>
  </si>
  <si>
    <t>Qm61nco1857@outlook.co.th</t>
  </si>
  <si>
    <t>OF2059780</t>
  </si>
  <si>
    <t>PKF-THAI-01181</t>
  </si>
  <si>
    <t>นววิช</t>
  </si>
  <si>
    <t>อินทร์อ่อน</t>
  </si>
  <si>
    <t>Nawawit</t>
  </si>
  <si>
    <t>In-on</t>
  </si>
  <si>
    <t>พลประจำรถบรรทุกน้ำ ขนาด 6,000 ลิตร</t>
  </si>
  <si>
    <t>พลสูทกรรม ช.11 พัน.602</t>
  </si>
  <si>
    <t>https://drive.google.com/file/d/1JfTtnq1fesiab7nElbc5HcGkwlNkGuPK/view?usp=drivesdk</t>
  </si>
  <si>
    <t>เดี่ยว</t>
  </si>
  <si>
    <t>0925144515</t>
  </si>
  <si>
    <t>i.nawawit@gmail.com</t>
  </si>
  <si>
    <t>OF2059786</t>
  </si>
  <si>
    <t>PKF-THAI-01182</t>
  </si>
  <si>
    <t>อาทิตย์</t>
  </si>
  <si>
    <t>มณีรัตนเลิศวานิช</t>
  </si>
  <si>
    <t>Artit</t>
  </si>
  <si>
    <t>Maneeratanalertvanich</t>
  </si>
  <si>
    <t>ครูผู้ช่วย ผยช.กศ.รร.ช.กช.</t>
  </si>
  <si>
    <t>https://drive.google.com/file/d/12jrW6YXV5dVDbQRHx2CUT8eqLKjajb9v/view?usp=drivesdk</t>
  </si>
  <si>
    <t>แพร</t>
  </si>
  <si>
    <t>0899150619</t>
  </si>
  <si>
    <t>artntbong@gmail.com</t>
  </si>
  <si>
    <t>OF2059618</t>
  </si>
  <si>
    <t>PKF-THAI-01300</t>
  </si>
  <si>
    <t>อรรคพล</t>
  </si>
  <si>
    <t>จิตรบรรจง</t>
  </si>
  <si>
    <t>Arkkapon</t>
  </si>
  <si>
    <t>Jitbanjong</t>
  </si>
  <si>
    <t>ช่างเชื่อม ร้อย.ช.ซบร.สนาม</t>
  </si>
  <si>
    <t>https://drive.google.com/file/d/1gs5CDxO_Nec9nT_XZbbKgWvrqbxqKGBu/view?usp=drivesdk</t>
  </si>
  <si>
    <t>อาร์ม</t>
  </si>
  <si>
    <t>arm_club</t>
  </si>
  <si>
    <t>armzaclub55@gmail.com</t>
  </si>
  <si>
    <t>OF2059619</t>
  </si>
  <si>
    <t>PKF-THAI-01183</t>
  </si>
  <si>
    <t>ผดุงพล</t>
  </si>
  <si>
    <t>แสงจันทร์</t>
  </si>
  <si>
    <t>Phadungphon</t>
  </si>
  <si>
    <t>Sangjan</t>
  </si>
  <si>
    <t>นายสิบช่างยานยนต์/พลประจำรถโรงงานซ่อมขั้นหน่วย</t>
  </si>
  <si>
    <t>เสมียนธุรการ ร้อย.ช.ซบร.สนาม</t>
  </si>
  <si>
    <t>https://drive.google.com/file/d/1dUjMX9pseTNkvTNn641Rc9yvTxHcVLT1/view?usp=drivesdk</t>
  </si>
  <si>
    <t>วิน</t>
  </si>
  <si>
    <t>isadvin</t>
  </si>
  <si>
    <t>isadvin6566@gmail.com</t>
  </si>
  <si>
    <t>OF2059777</t>
  </si>
  <si>
    <t>PKF-THAI-01301</t>
  </si>
  <si>
    <t>อิสระพงษ์</t>
  </si>
  <si>
    <t>สุขสมบูรณ์</t>
  </si>
  <si>
    <t>Itsarapong</t>
  </si>
  <si>
    <t>Suksomboon</t>
  </si>
  <si>
    <t>ช่างยานยนต์ล้อ ร้อย.ช.ซบร.หนัก</t>
  </si>
  <si>
    <t>https://drive.google.com/file/d/1hk5ZLeyhxyN6TmVxTv87y2FInYDwhb1Q/view?usp=drivesdk</t>
  </si>
  <si>
    <t>benzit.</t>
  </si>
  <si>
    <t>itsarapong13579@gmail.com</t>
  </si>
  <si>
    <t>OF2059623</t>
  </si>
  <si>
    <t>PKF-THAI-01302</t>
  </si>
  <si>
    <t>นามงาม</t>
  </si>
  <si>
    <t>Namngam</t>
  </si>
  <si>
    <t>นายสิบช่างยานยนต์/พลประจำรถโรงงานซ่อมเคลื่อนที่</t>
  </si>
  <si>
    <t>นายสิบตรวจการซ่อม ร้อย.บก.ช.21</t>
  </si>
  <si>
    <t>https://drive.google.com/file/d/1zoJ1DEbTQgGNbhN2105rclLQatqNLxoe/view?usp=drivesdk</t>
  </si>
  <si>
    <t>วี</t>
  </si>
  <si>
    <t>ve1655nco</t>
  </si>
  <si>
    <t>vevie1655@gmail.com</t>
  </si>
  <si>
    <t>OF2059626</t>
  </si>
  <si>
    <t>PKF-THAI-01303</t>
  </si>
  <si>
    <t>ณัฐวุฒิ</t>
  </si>
  <si>
    <t>บุตรี</t>
  </si>
  <si>
    <t>Nutthawut</t>
  </si>
  <si>
    <t>Buttree</t>
  </si>
  <si>
    <t>ช่างซ่อมเครื่องยนต์เครื่องกำเนิดไฟฟ้า ร้อย.ช.ซบร.หนัก</t>
  </si>
  <si>
    <t>ป.1 ชั้น 23.5 (12,810.-บาท)</t>
  </si>
  <si>
    <t>https://drive.google.com/file/d/1GbHr2BmHop6x0w7HXj5H5BX375YYah5P/view?usp=drivesdk</t>
  </si>
  <si>
    <t>tee199507</t>
  </si>
  <si>
    <t>nutthawuth1995070638@gmail.com</t>
  </si>
  <si>
    <t>OF2059620</t>
  </si>
  <si>
    <t>PKF-THAI-01184</t>
  </si>
  <si>
    <t>พิมล</t>
  </si>
  <si>
    <t>Apichart</t>
  </si>
  <si>
    <t>Pimon</t>
  </si>
  <si>
    <t>นายสิบซ่อมบำรุงเครื่องมือ/พลประจำรถพ่วงบริการหล่อลื่น</t>
  </si>
  <si>
    <t>นายสิบกำกับบัญชีคุมชิ้นส่วน ร้อย.บก.ช.21</t>
  </si>
  <si>
    <t>https://drive.google.com/file/d/1V5dkR_-05le7i3ZJA1_aPFCMIoe85lSQ/view?usp=drivesdk</t>
  </si>
  <si>
    <t>1495936</t>
  </si>
  <si>
    <t>apicharttom847@gmail.com</t>
  </si>
  <si>
    <t>OF2059624</t>
  </si>
  <si>
    <t>PKF-THAI-01185</t>
  </si>
  <si>
    <t>ชำนาญ</t>
  </si>
  <si>
    <t>สวัสดี</t>
  </si>
  <si>
    <t>Chamnan</t>
  </si>
  <si>
    <t>Sawatdee</t>
  </si>
  <si>
    <t>นายสิบซ่อมบำรุงเครื่องมือ/พลประจำรถพ่วงเครื่องมือใช้ลมอัดฯ</t>
  </si>
  <si>
    <t>หน.ช่างเชื่อมตอนเชื่อมและประดิษฐ์ มว.โรงงานร้อย.ช.ซบร.หนัก</t>
  </si>
  <si>
    <t>https://drive.google.com/file/d/1mpkjsEZMaNADcKgB_SleoQe_GhrgFEhQ/view?usp=drivesdk</t>
  </si>
  <si>
    <t>น้อง</t>
  </si>
  <si>
    <t>nong_4321</t>
  </si>
  <si>
    <t>nong95146@gmail.com</t>
  </si>
  <si>
    <t>OF2025759</t>
  </si>
  <si>
    <t>PKF-THAI-01304</t>
  </si>
  <si>
    <t>ภาณุพงษ์</t>
  </si>
  <si>
    <t>เข็มขาว</t>
  </si>
  <si>
    <t>Phanuphong</t>
  </si>
  <si>
    <t>Khemkhaw</t>
  </si>
  <si>
    <t>พลประจำเครื่องกำเนิดไฟฟ้า 201 - 500 กิโลวัตต์</t>
  </si>
  <si>
    <t>เสมียน กจห.กช.</t>
  </si>
  <si>
    <t>ป.1 ชั้น 25 (13570.-บาท)</t>
  </si>
  <si>
    <t>https://drive.google.com/file/d/1r5vfWTzfkAyfqANMl57DvavCamIj77Pv/view?usp=drivesdk</t>
  </si>
  <si>
    <t>แมน</t>
  </si>
  <si>
    <t>0972516956</t>
  </si>
  <si>
    <t>parmankap2@gmail.com</t>
  </si>
  <si>
    <t>OF2059779</t>
  </si>
  <si>
    <t>PKF-THAI-01186</t>
  </si>
  <si>
    <t>ธนยศ</t>
  </si>
  <si>
    <t>โชติวัฒนกุล</t>
  </si>
  <si>
    <t>Thanayot</t>
  </si>
  <si>
    <t>Chotwatthanakul</t>
  </si>
  <si>
    <t>นายสิบซ่อมบำรุง/พลประจำรถสายพานกู้ซ่อม</t>
  </si>
  <si>
    <t>ช่างซ่อมปืนใหญ่ป้อม ผซคย.รง.ซอค.กรซย.ศซส.สพ.ทบ.</t>
  </si>
  <si>
    <t>สพ.ทบ.</t>
  </si>
  <si>
    <t>https://drive.google.com/file/d/1h6_4Y12w61tPBn62sWuKuxcOHb59nvKI/view?usp=drivesdk</t>
  </si>
  <si>
    <t>0980561517</t>
  </si>
  <si>
    <t>kero32610@gmail.com</t>
  </si>
  <si>
    <t>OF2059472</t>
  </si>
  <si>
    <t>PKF-THAI-01187</t>
  </si>
  <si>
    <t>ศิริพงษ์</t>
  </si>
  <si>
    <t>เชี่ยวชาญ</t>
  </si>
  <si>
    <t>Siriphong</t>
  </si>
  <si>
    <t>Chaewchan</t>
  </si>
  <si>
    <t>ช่างเครื่องจักร ร้อย.สพ.ซบร.สน.ทั่วไป พัน.สพ.ซบร.เขตหลัง</t>
  </si>
  <si>
    <t>ป.2 ชั้น 33.5 (24440.-บาท)</t>
  </si>
  <si>
    <t>https://drive.google.com/file/d/1AhXtWsDXcQPvxWtRkloPsfAOQrTpo7XQ/view?usp=drivesdk</t>
  </si>
  <si>
    <t>แบ้งค์</t>
  </si>
  <si>
    <t>0806154225</t>
  </si>
  <si>
    <t>banksiriphong1049@gmail.com</t>
  </si>
  <si>
    <t>OF2059463</t>
  </si>
  <si>
    <t>PKF-THAI-01305</t>
  </si>
  <si>
    <t>นิรุตต์</t>
  </si>
  <si>
    <t>ตั้งพงษ์</t>
  </si>
  <si>
    <t>Nirutt</t>
  </si>
  <si>
    <t>Tangphong</t>
  </si>
  <si>
    <t>นายสิบซ่อมบำรุง/พลประจำรถกู้ซ่อม ขนาด 5 ตัน 6x6</t>
  </si>
  <si>
    <t>เสมียน แผนก ผตค.รง.ซยน.กรซย.ศซส.สพ.ทบ.</t>
  </si>
  <si>
    <t>https://drive.google.com/file/d/1AtAVOugNG2t07KOSjNbtyNf0QdemWyQl/view?usp=drivesdk</t>
  </si>
  <si>
    <t>อาท</t>
  </si>
  <si>
    <t>artsenal11</t>
  </si>
  <si>
    <t>koratart74@gmail.com</t>
  </si>
  <si>
    <t>OF2059470</t>
  </si>
  <si>
    <t>PKF-THAI-01188</t>
  </si>
  <si>
    <t>ปริญญา</t>
  </si>
  <si>
    <t>จุนทวิเทศ</t>
  </si>
  <si>
    <t>Parinya</t>
  </si>
  <si>
    <t>Juntawites</t>
  </si>
  <si>
    <t>ช่างซ่อมยานยนต์
มว.ซ่อมยานยนต์
ร้อย.สพ.ซบร.สน.ทั่วไป 
พัน.สพ.ซบร. เขตหลัง</t>
  </si>
  <si>
    <t>https://drive.google.com/file/d/1VxawUyyVQjvY-XKeLjIeTrANWZZ429sK/view?usp=drivesdk</t>
  </si>
  <si>
    <t>เจ</t>
  </si>
  <si>
    <t>jjvgk4d9</t>
  </si>
  <si>
    <t>parinya360427@gmail.com</t>
  </si>
  <si>
    <t>OF2059466</t>
  </si>
  <si>
    <t>PKF-THAI-01306</t>
  </si>
  <si>
    <t>วัฒนชัย</t>
  </si>
  <si>
    <t>นภาสกุล</t>
  </si>
  <si>
    <t>Watthanachai</t>
  </si>
  <si>
    <t>Napasakul</t>
  </si>
  <si>
    <t>นายสิบซ่อมบำรุง</t>
  </si>
  <si>
    <t>ช่างเครื่องจักร แผนก ผผสป.รง.ซยน.กรซย.ศซส.สพ. ทบ.</t>
  </si>
  <si>
    <t>ป.2 ชั้น 30 (22180.-บาท)</t>
  </si>
  <si>
    <t>https://drive.google.com/file/d/108_yqAmLHVZTCZUpk8oJSGp1h8vEVNn7/view?usp=drivesdk</t>
  </si>
  <si>
    <t>โตส</t>
  </si>
  <si>
    <t>MV147</t>
  </si>
  <si>
    <t>Watthanachainapusakun@gmail.com</t>
  </si>
  <si>
    <t>OF2059455</t>
  </si>
  <si>
    <t>PKF-THAI-01189</t>
  </si>
  <si>
    <t>เกรียงไกร</t>
  </si>
  <si>
    <t>ปัตตนาโถ</t>
  </si>
  <si>
    <t>Kriengkri</t>
  </si>
  <si>
    <t>Pattanatho</t>
  </si>
  <si>
    <t>นายสิบส่งกำลังสายสรรพาวุธ มว.สล.ร้อย.สพ.ซบร.สน.โดยตรง พัน.สพ.ซบร.เขตหลัง</t>
  </si>
  <si>
    <t>https://drive.google.com/file/d/1tQwCy45KZZNZFssmC9tY-LXcsFkdWo3l/view?usp=drivesdk</t>
  </si>
  <si>
    <t>เกรียง</t>
  </si>
  <si>
    <t>tsunami8847</t>
  </si>
  <si>
    <t>griengkripattanatho@gmail.com</t>
  </si>
  <si>
    <t>OF2059465</t>
  </si>
  <si>
    <t>PKF-THAI-01190</t>
  </si>
  <si>
    <t>น.1 46.5 (39190.-บาท)</t>
  </si>
  <si>
    <t>https://drive.google.com/file/d/1MY5HiE7HhkRiZhY3ahC0SfsTpN5-NDia/view?usp=drivesdk</t>
  </si>
  <si>
    <t>1405400448</t>
  </si>
  <si>
    <t>eakpon.3040@gmail.com</t>
  </si>
  <si>
    <t>OF2059484</t>
  </si>
  <si>
    <t>PKF-THAI-01307</t>
  </si>
  <si>
    <t>อมรเทพ</t>
  </si>
  <si>
    <t>ดีสุวรรณ</t>
  </si>
  <si>
    <t>Amornthep</t>
  </si>
  <si>
    <t>Deesuwan</t>
  </si>
  <si>
    <t>นายสิบสื่อสาร</t>
  </si>
  <si>
    <t>นายสิบยานยนต์ บก.ร้อย.ปสพ.พัน.ส.บก.ทท.สส.ทหาร</t>
  </si>
  <si>
    <t>ป.3 33 (34110.-บาท)</t>
  </si>
  <si>
    <t>https://drive.google.com/file/d/1NYXRToWGpioB0fHNqePrGWU2MmMThiin/view?usp=drivesdk</t>
  </si>
  <si>
    <t>เทพ</t>
  </si>
  <si>
    <t xml:space="preserve">Thepwalther40 </t>
  </si>
  <si>
    <t>sniper1014009@gmail.com</t>
  </si>
  <si>
    <t>OF2059493</t>
  </si>
  <si>
    <t>PKF-THAI-01308</t>
  </si>
  <si>
    <t>พ.อ.อ.</t>
  </si>
  <si>
    <t>ทิชากร</t>
  </si>
  <si>
    <t>พึ่งพันธ์</t>
  </si>
  <si>
    <t>FS1</t>
  </si>
  <si>
    <t>Thichagon</t>
  </si>
  <si>
    <t>Phungpan</t>
  </si>
  <si>
    <t>พลวิทยุ/พลประจำ รยบ.ปกติขนาดใหญ่</t>
  </si>
  <si>
    <t>หน.ชุดวิทยุปลายทาง ชุดวิทยุปลายทาง มว.วิทยุปลายทาง ร้อย.ปถท.พัน.ส.บก.ทท.สส.ทหาร</t>
  </si>
  <si>
    <t>ป.2 34 (24800.-บาท)</t>
  </si>
  <si>
    <t>https://drive.google.com/file/d/1ACddTuIMimPTdwaIN5BusXgJQyzXXart/view?usp=drivesdk</t>
  </si>
  <si>
    <t>0991656319</t>
  </si>
  <si>
    <t>mcthichagon@gmail.com</t>
  </si>
  <si>
    <t>OF2059477</t>
  </si>
  <si>
    <t>PKF-THAI-01309</t>
  </si>
  <si>
    <t>พ.จ.อ.หญิง</t>
  </si>
  <si>
    <t>ศิรินภา</t>
  </si>
  <si>
    <t>เรือนศักดิ์</t>
  </si>
  <si>
    <t>CPO1</t>
  </si>
  <si>
    <t>Sirinapa</t>
  </si>
  <si>
    <t>Ruaensak</t>
  </si>
  <si>
    <t>พลวิทยุ</t>
  </si>
  <si>
    <t>เสมียน มว.วิเคราะห์ข่าว ร้อย.ปสอ.ที่ 2 พัน.ปสอ.สส.ทหาร</t>
  </si>
  <si>
    <t>ป.2 35 (25530.-บาท)</t>
  </si>
  <si>
    <t>https://drive.google.com/file/d/1-uTjO-wEDy5R5jixVuk-X19nFfDsTD0b/view?usp=drivesdk</t>
  </si>
  <si>
    <t>เม</t>
  </si>
  <si>
    <t>vampireza</t>
  </si>
  <si>
    <t>vampire_493@hotmail.com</t>
  </si>
  <si>
    <t>OF2059485</t>
  </si>
  <si>
    <t>PKF-THAI-01310</t>
  </si>
  <si>
    <t>จันทร์จิรา</t>
  </si>
  <si>
    <t>อาจหาญ</t>
  </si>
  <si>
    <t>Janjira</t>
  </si>
  <si>
    <t>Arthan</t>
  </si>
  <si>
    <t>จนท.สารสนเทศ แผนกอำนวยการระบบควบคุมบังคับบัญชา กสส.สผอ.สส.ทหาร</t>
  </si>
  <si>
    <t>ป.2 24 (18480.-บาท)</t>
  </si>
  <si>
    <t>https://drive.google.com/file/d/1KTIlX0wGLif_cfmTW94s1RX1XaYEHPMx/view?usp=drivesdk</t>
  </si>
  <si>
    <t>จิว</t>
  </si>
  <si>
    <t>Jiwtgz</t>
  </si>
  <si>
    <t>jiwjiwjiw48@gmail.com</t>
  </si>
  <si>
    <t>OF2059487</t>
  </si>
  <si>
    <t>PKF-THAI-01311</t>
  </si>
  <si>
    <t>เจนจิรา</t>
  </si>
  <si>
    <t>กล่อมเกษม</t>
  </si>
  <si>
    <t>Klomkaseme</t>
  </si>
  <si>
    <t>จนท.ปฏิบัติการ แผนกปฏิบัติการโทรคมนาคม ที่ 1 กทค.ศทท.สส.ทหาร</t>
  </si>
  <si>
    <t>ป.1 36 (19020.-บาท)</t>
  </si>
  <si>
    <t>https://drive.google.com/file/d/13ffahooyu7B9ALK73Hae_gsp2sYbqVYU/view?usp=drivesdk</t>
  </si>
  <si>
    <t>ป๊อปปี้</t>
  </si>
  <si>
    <t>Crazypoppop</t>
  </si>
  <si>
    <t>Janjira.klomkasem@gmail.com</t>
  </si>
  <si>
    <t>OF2059456</t>
  </si>
  <si>
    <t>PKF-THAI-01312</t>
  </si>
  <si>
    <t>จ.อ.หญิง</t>
  </si>
  <si>
    <t>ลดาวัลย์</t>
  </si>
  <si>
    <t>จันทะนูศร</t>
  </si>
  <si>
    <t>Ladawan</t>
  </si>
  <si>
    <t>Juntanusorn</t>
  </si>
  <si>
    <t>เสมียน กทค.ศทท.สส.ทหาร</t>
  </si>
  <si>
    <t>ป.1 24.5 (13310.-บาท)</t>
  </si>
  <si>
    <t>https://drive.google.com/file/d/1W7zSaSeV3NbG3_vOz4E_N8Zug_07UTZ1/view?usp=drivesdk</t>
  </si>
  <si>
    <t>แอน</t>
  </si>
  <si>
    <t>aldw</t>
  </si>
  <si>
    <t>ladawon234@gmail.com</t>
  </si>
  <si>
    <t>OF2059480</t>
  </si>
  <si>
    <t>PKF-THAI-01313</t>
  </si>
  <si>
    <t>กนกกร</t>
  </si>
  <si>
    <t>ทองบ่อ</t>
  </si>
  <si>
    <t>Kanokkon</t>
  </si>
  <si>
    <t>Thongbor</t>
  </si>
  <si>
    <t>พลสร้างสาย</t>
  </si>
  <si>
    <t>เสมียน กผว.ศทท.สส.ทหาร</t>
  </si>
  <si>
    <t>ป.1 26.5 (14320.-บาท)</t>
  </si>
  <si>
    <t>https://drive.google.com/file/d/1VwEucHwlZjM-qBjPaObLLeyJKy1_uSgo/view?usp=drivesdk</t>
  </si>
  <si>
    <t>ตุ๋ม</t>
  </si>
  <si>
    <t>ms_bangearn</t>
  </si>
  <si>
    <t>kanokkon.t@rtarf.mi.th</t>
  </si>
  <si>
    <t>OF2059486</t>
  </si>
  <si>
    <t>PKF-THAI-01314</t>
  </si>
  <si>
    <t>น.1 33.5 (25890.-บาท)</t>
  </si>
  <si>
    <t>https://drive.google.com/file/d/1zGFZ62FkIn0bULp3M815_5j9yN3rOH9J/view?usp=drivesdk</t>
  </si>
  <si>
    <t>นิค</t>
  </si>
  <si>
    <t>thenicks</t>
  </si>
  <si>
    <t>thenicks_mtts@live.com</t>
  </si>
  <si>
    <t>OF2059478</t>
  </si>
  <si>
    <t>PKF-THAI-01315</t>
  </si>
  <si>
    <t>ภัทราวดี</t>
  </si>
  <si>
    <t>ปานเกิด</t>
  </si>
  <si>
    <t>Patrawadee</t>
  </si>
  <si>
    <t>Pankoed</t>
  </si>
  <si>
    <t>เจ้าหน้าที่เครือข่ายและดาวเทียม</t>
  </si>
  <si>
    <t>เสมียน แผนกเตรียมการและซ่อมบำรุง กฝอ.สส.ทหาร</t>
  </si>
  <si>
    <t>ป.2 27 (20330.-บาท)</t>
  </si>
  <si>
    <t>https://drive.google.com/file/d/1FjTxSaIa8w21KZIuJm4Y6Y_I41lcQ0N0/view?usp=drivesdk</t>
  </si>
  <si>
    <t>ฝนฝน</t>
  </si>
  <si>
    <t>uptoo</t>
  </si>
  <si>
    <t>patrawadee.p@gmail.com</t>
  </si>
  <si>
    <t>OF2059490</t>
  </si>
  <si>
    <t>PKF-THAI-01316</t>
  </si>
  <si>
    <t>วิมลพรรณ</t>
  </si>
  <si>
    <t>แย้มสำรวล</t>
  </si>
  <si>
    <t>Wimolphan</t>
  </si>
  <si>
    <t>Yamsumloon</t>
  </si>
  <si>
    <t>หน.ช่างซ่อมเครื่องถ่ายภาพ ตอนการภาพ ร้อย.บก.พัน.บก.ทท.สส.ทหาร</t>
  </si>
  <si>
    <t>ป.2 22 (17270.-บาท)</t>
  </si>
  <si>
    <t>https://drive.google.com/file/d/1rYfzGBRtxtL88xV-qc_Imhe0dr2Lwv0u/view?usp=drivesdk</t>
  </si>
  <si>
    <t>ปราย</t>
  </si>
  <si>
    <t>wimonp.21</t>
  </si>
  <si>
    <t>Acheneepray21@hotmail.com</t>
  </si>
  <si>
    <t>OF2059492</t>
  </si>
  <si>
    <t>PKF-THAI-01317</t>
  </si>
  <si>
    <t>นภาพรรณ</t>
  </si>
  <si>
    <t>อุณหพันธ์</t>
  </si>
  <si>
    <t>Napapan</t>
  </si>
  <si>
    <t>Unhapan</t>
  </si>
  <si>
    <t>เสมียน กซบร.ศทท.สส.ทหาร</t>
  </si>
  <si>
    <t>ป.1 25 (13570.-บาท)</t>
  </si>
  <si>
    <t>https://drive.google.com/file/d/1HcnOV7WzooWpL1LbsuInjNvNFzLF9pQ6/view?usp=drivesdk</t>
  </si>
  <si>
    <t>อุ้ย</t>
  </si>
  <si>
    <t>napapan_un</t>
  </si>
  <si>
    <t>napapanpo@gmail.com</t>
  </si>
  <si>
    <t>OF2059482</t>
  </si>
  <si>
    <t>PKF-THAI-01318</t>
  </si>
  <si>
    <t>เสกสรร</t>
  </si>
  <si>
    <t>ประวันตัง</t>
  </si>
  <si>
    <t>Seksarn</t>
  </si>
  <si>
    <t>Prawantang</t>
  </si>
  <si>
    <t>ช่างปูน ช.11 พัน.602</t>
  </si>
  <si>
    <t>ป.2 ชั้น 40+ย.5 (35220.-บาท)</t>
  </si>
  <si>
    <t>https://drive.google.com/file/d/1PKnhbCweyZ0yvgPIxkVnZURM9J9MCBHW/view?usp=drivesdk</t>
  </si>
  <si>
    <t>เสก</t>
  </si>
  <si>
    <t>2917sak</t>
  </si>
  <si>
    <t>tawanfbn1248@gmail.com</t>
  </si>
  <si>
    <t>OF2059788</t>
  </si>
  <si>
    <t>PKF-THAI-01319</t>
  </si>
  <si>
    <t>เอมิกา</t>
  </si>
  <si>
    <t>อารีย์รบ</t>
  </si>
  <si>
    <t>Amika</t>
  </si>
  <si>
    <t>Areerob</t>
  </si>
  <si>
    <t>รองหัวหน้าตอน</t>
  </si>
  <si>
    <t>เสมียน กบร.กช.</t>
  </si>
  <si>
    <t>https://drive.google.com/file/d/1HRS7puuYYsJuZM9JSzuFfFC2eF0CTbm_/view?usp=drivesdk</t>
  </si>
  <si>
    <t>มายด์</t>
  </si>
  <si>
    <t>amizsmile</t>
  </si>
  <si>
    <t>Mildyamize@gmail.com</t>
  </si>
  <si>
    <t>OF2059783</t>
  </si>
  <si>
    <t>PKF-THAI-01320</t>
  </si>
  <si>
    <t>โสตถิเวทย์</t>
  </si>
  <si>
    <t>วงษ์ทอง</t>
  </si>
  <si>
    <t>Sothiwet</t>
  </si>
  <si>
    <t>Wongthong</t>
  </si>
  <si>
    <t>พลสูทกรรม/พลประจำรถบรรทุกห้องเย็น</t>
  </si>
  <si>
    <t>ช่างเขียน กวก.กช.</t>
  </si>
  <si>
    <t>https://drive.google.com/file/d/1JmRkErcBBKppFU9_8cAV8c2hCoAgLh72/view?usp=drivesdk</t>
  </si>
  <si>
    <t>เบลล์</t>
  </si>
  <si>
    <t>sothiwet_bell</t>
  </si>
  <si>
    <t>sothiwetacademic@gamil.com</t>
  </si>
  <si>
    <t>OF2059625</t>
  </si>
  <si>
    <t>PKF-THAI-01191</t>
  </si>
  <si>
    <t>ธัชพล</t>
  </si>
  <si>
    <t>พนัสไพรพงศ์</t>
  </si>
  <si>
    <t>Tatchapon</t>
  </si>
  <si>
    <t>Panaspraipong</t>
  </si>
  <si>
    <t>เสมียน กปช.กช.</t>
  </si>
  <si>
    <t>https://drive.google.com/file/d/1g6ZO_Y_LxwbNp6tikWUiaEB_75O6PNBW/view?usp=drivesdk</t>
  </si>
  <si>
    <t>Sip4maysa</t>
  </si>
  <si>
    <t>sip4maysa@gmail.com</t>
  </si>
  <si>
    <t>OF2059629</t>
  </si>
  <si>
    <t>PKF-THAI-01192</t>
  </si>
  <si>
    <t>ชยณัฐ</t>
  </si>
  <si>
    <t>ธรรมรักษากุล</t>
  </si>
  <si>
    <t>Chayanut</t>
  </si>
  <si>
    <t>Tummaruksakul</t>
  </si>
  <si>
    <t>พลสูทกรรม/พลประจำ รยบ.ปกติขนาดใหญ่</t>
  </si>
  <si>
    <t>เสมียน รร.ช.กช.</t>
  </si>
  <si>
    <t>https://drive.google.com/file/d/1rHnRnOzZE7v_PaCiChIFYAqkArxWrRbh/view?usp=drivesdk</t>
  </si>
  <si>
    <t>ไกด์</t>
  </si>
  <si>
    <t>NUKUL_152</t>
  </si>
  <si>
    <t>k.chayanut152@gmail.com</t>
  </si>
  <si>
    <t>OF2025772</t>
  </si>
  <si>
    <t>PKF-THAI-01193</t>
  </si>
  <si>
    <t>จักรพงค์</t>
  </si>
  <si>
    <t>ก้อนเพชร</t>
  </si>
  <si>
    <t>Jagkapong</t>
  </si>
  <si>
    <t>Konpeth</t>
  </si>
  <si>
    <t>พลสูทกรรม/พลประจำรถยก โฟล์ค-ลิฟท์</t>
  </si>
  <si>
    <t>ช่างเขียนแบบก่อสร้าง ฝวศ.พล.ช.</t>
  </si>
  <si>
    <t>https://drive.google.com/file/d/1PeP8NIndRQj2MbWKJEhTIUg5YSzhCxip/view?usp=drivesdk</t>
  </si>
  <si>
    <t>เฟรม</t>
  </si>
  <si>
    <t>jagkapongf</t>
  </si>
  <si>
    <t>fame6484@gmail.com</t>
  </si>
  <si>
    <t>OF2059628</t>
  </si>
  <si>
    <t>PKF-THAI-01194</t>
  </si>
  <si>
    <t>ชัยณรงค์</t>
  </si>
  <si>
    <t>ปัทมศรีสกุล</t>
  </si>
  <si>
    <t>Chainarong</t>
  </si>
  <si>
    <t>Patthamasrisakul</t>
  </si>
  <si>
    <t>พลประจำรถถากถาง ช.ร้อย.115</t>
  </si>
  <si>
    <t>https://drive.google.com/file/d/1EIRiIqaYoWoTg-SiE2sie8j-q7nUZJx7/view?usp=drivesdk</t>
  </si>
  <si>
    <t>ตุ้ย</t>
  </si>
  <si>
    <t xml:space="preserve">Tui112532 </t>
  </si>
  <si>
    <t>Chainarong11tui@gmail.com</t>
  </si>
  <si>
    <t>OF2059631</t>
  </si>
  <si>
    <t>PKF-THAI-01195</t>
  </si>
  <si>
    <t>เบญญาภา</t>
  </si>
  <si>
    <t>อำนวย</t>
  </si>
  <si>
    <t>Benyapa</t>
  </si>
  <si>
    <t>Amnuay</t>
  </si>
  <si>
    <t>พลสูทกรรม</t>
  </si>
  <si>
    <t>เสมียน ผฝย.กศ.รร.ช.กช.</t>
  </si>
  <si>
    <t>https://drive.google.com/file/d/1YETqgNWvq4XgIK4fPoit948cNcQDbkWF/view?usp=drivesdk</t>
  </si>
  <si>
    <t>ปูเป้</t>
  </si>
  <si>
    <t>Poope_1996</t>
  </si>
  <si>
    <t>benyapaaum1996@gmail.com</t>
  </si>
  <si>
    <t>OF2059798</t>
  </si>
  <si>
    <t>PKF-THAI-01321</t>
  </si>
  <si>
    <t>วิศรุต</t>
  </si>
  <si>
    <t>ยศม่าว</t>
  </si>
  <si>
    <t>Wisarut</t>
  </si>
  <si>
    <t>Yosmao</t>
  </si>
  <si>
    <t>นายสิบสะพาน บก.มว.สะพานเครื่องหนุนลอย ช.ร้อย.18</t>
  </si>
  <si>
    <t>ป.2 ชั้น 35 (25530.-บาท)</t>
  </si>
  <si>
    <t>092-5246700</t>
  </si>
  <si>
    <t>https://drive.google.com/file/d/1L8afiI2PX6ND9a4kXCGzJGB0iWS53Z5T/view?usp=drivesdk</t>
  </si>
  <si>
    <t>เอส</t>
  </si>
  <si>
    <t>OF2059875</t>
  </si>
  <si>
    <t>PKF-THAI-01196</t>
  </si>
  <si>
    <t>สหัสวรรษ</t>
  </si>
  <si>
    <t>จันทร์ศิริ</t>
  </si>
  <si>
    <t>Sahassawas</t>
  </si>
  <si>
    <t>Junsiri</t>
  </si>
  <si>
    <t>เสมียน พัน.นร.รร.ช.กช.</t>
  </si>
  <si>
    <t>https://drive.google.com/file/d/1Ax9i5x2vyjgRIvBMmhh6QRcSHaWPa1o6/view?usp=drivesdk</t>
  </si>
  <si>
    <t>ฮ่องเต้</t>
  </si>
  <si>
    <t>OF2059642</t>
  </si>
  <si>
    <t>PKF-THAI-01322</t>
  </si>
  <si>
    <t>เฉลิมชัย</t>
  </si>
  <si>
    <t>ซื่อตรง</t>
  </si>
  <si>
    <t>Chaloemchai</t>
  </si>
  <si>
    <t>Suetrong</t>
  </si>
  <si>
    <t>พลประจำรถยนต์หัวลาก, รถกึ่งพ่วงชานต่ำ</t>
  </si>
  <si>
    <t>พลประจำรถเกลี่ย ช.11 พัน.111</t>
  </si>
  <si>
    <t>ป.2 ชั้น 40 (29690.-บาท)</t>
  </si>
  <si>
    <t>https://drive.google.com/file/d/1MVpAHWVE80Wn0QY7Yuy5PUNjWUsbZnIz/view?usp=drivesdk</t>
  </si>
  <si>
    <t>โก้</t>
  </si>
  <si>
    <t xml:space="preserve"> go051221</t>
  </si>
  <si>
    <t>Chaloemchai327@gmail.com</t>
  </si>
  <si>
    <t>OF2059789</t>
  </si>
  <si>
    <t>PKF-THAI-01197</t>
  </si>
  <si>
    <t>อนิวัติ</t>
  </si>
  <si>
    <t>บัวเรือง</t>
  </si>
  <si>
    <t>Buaruang</t>
  </si>
  <si>
    <t>พลประจำรถตักบรรทุก ช.11 พัน.602</t>
  </si>
  <si>
    <t>https://drive.google.com/file/d/1yX0klBWybiFnyXV5FuOHnj5X3QFLdmda/view?usp=drivesdk</t>
  </si>
  <si>
    <t>นัท</t>
  </si>
  <si>
    <t>nutaniwut</t>
  </si>
  <si>
    <t>nutzam082@gmail.com</t>
  </si>
  <si>
    <t>OF2059627</t>
  </si>
  <si>
    <t>PKF-THAI-01198</t>
  </si>
  <si>
    <t>ดำรงค์</t>
  </si>
  <si>
    <t>แก้วจินดา</t>
  </si>
  <si>
    <t>Dumrong</t>
  </si>
  <si>
    <t>Kaewjinda</t>
  </si>
  <si>
    <t>พลประจำรถบดสั่นสะเทือน พัน.ช.คมศ.พล.ช.</t>
  </si>
  <si>
    <t>0926374637​</t>
  </si>
  <si>
    <t>https://drive.google.com/file/d/1aToXPbRyoyHDV-dQ7p3N_MBDiuukSCgl/view?usp=drivesdk</t>
  </si>
  <si>
    <t>หนึ่ง​</t>
  </si>
  <si>
    <t>OF2059483</t>
  </si>
  <si>
    <t>PKF-THAI-01323</t>
  </si>
  <si>
    <t>สุริยัน</t>
  </si>
  <si>
    <t>วรรณกาล</t>
  </si>
  <si>
    <t>Suriyun</t>
  </si>
  <si>
    <t>Wanakarn</t>
  </si>
  <si>
    <t>เสมียนธุรการกำลังพล พัน.ช.คมศ.พล.ช.</t>
  </si>
  <si>
    <t>https://drive.google.com/file/d/1_rRAhJfeCmSXQrCQm4sOZxfflSGGbAU6/view?usp=drivesdk</t>
  </si>
  <si>
    <t>OF2059622</t>
  </si>
  <si>
    <t>PKF-THAI-01199</t>
  </si>
  <si>
    <t>จิรายุส</t>
  </si>
  <si>
    <t>จุลปาน</t>
  </si>
  <si>
    <t>Junlaparn</t>
  </si>
  <si>
    <t>https://drive.google.com/file/d/1hLK34MYCv9_ITmRMoR1RM57VYtJ0Tr7B/view?usp=drivesdk</t>
  </si>
  <si>
    <t>เอี๊ยม</t>
  </si>
  <si>
    <t>OF2059633</t>
  </si>
  <si>
    <t>PKF-THAI-01200</t>
  </si>
  <si>
    <t>ภาณุพันธ์</t>
  </si>
  <si>
    <t>สนธิ</t>
  </si>
  <si>
    <t>Panupun</t>
  </si>
  <si>
    <t>Sonthi</t>
  </si>
  <si>
    <t>พลประจำรถตักบรรทุก พัน.ช.คมศ.พล.ช.</t>
  </si>
  <si>
    <t>https://drive.google.com/file/d/1OroKSbezfP8SeSrh1py_xO-biGzwRzfF/view?usp=drivesdk</t>
  </si>
  <si>
    <t>ณุ</t>
  </si>
  <si>
    <t>nu6515</t>
  </si>
  <si>
    <t>nu6515@gmail.com</t>
  </si>
  <si>
    <t>OF2059790</t>
  </si>
  <si>
    <t>PKF-THAI-01324</t>
  </si>
  <si>
    <t>ธนบดินทร์</t>
  </si>
  <si>
    <t>เถาทับนุ่ม</t>
  </si>
  <si>
    <t>Thanabodin</t>
  </si>
  <si>
    <t>Taotabnum</t>
  </si>
  <si>
    <t>ช่างซ่อมเครื่องมือช่าง ร้อย.ช.ซบร.หนัก</t>
  </si>
  <si>
    <t>https://drive.google.com/file/d/1ROew9Kr85Ffr-EXJYrZdzVVCreCw6SHi/view?usp=drivesdk</t>
  </si>
  <si>
    <t>นุ๊ก</t>
  </si>
  <si>
    <t>nook.tnbd</t>
  </si>
  <si>
    <t>nooknooknnook@gmail.com</t>
  </si>
  <si>
    <t>OF2059637</t>
  </si>
  <si>
    <t>PKF-THAI-01325</t>
  </si>
  <si>
    <t>อรุณ</t>
  </si>
  <si>
    <t>หานุภาพ</t>
  </si>
  <si>
    <t>จ.ส.อ. อรุณ หานุภาพ</t>
  </si>
  <si>
    <t>Arun</t>
  </si>
  <si>
    <t>Hanupap</t>
  </si>
  <si>
    <t xml:space="preserve">พลประจำรถพ่วงบรรทุกน้ำขนาด 1 1/2 ตัน M149 A2 </t>
  </si>
  <si>
    <t>พลขับรถบรรทุกหนัก  ช.11 พัน.602</t>
  </si>
  <si>
    <t>https://drive.google.com/file/d/1nybu2qMLsIMHu34aEdt19hzUHG7Kegk_/view?usp=drivesdk</t>
  </si>
  <si>
    <t>รุณ</t>
  </si>
  <si>
    <t>Sarakham-544</t>
  </si>
  <si>
    <t>arua5677@gmil.com</t>
  </si>
  <si>
    <t>OF2059531</t>
  </si>
  <si>
    <t>PKF-THAI-01201</t>
  </si>
  <si>
    <t>ชมภูพันธ์</t>
  </si>
  <si>
    <t>Chomphuphan</t>
  </si>
  <si>
    <t>พลประจำเครื่องกรองน้ำ, ปั๊มน้ำไดโว่</t>
  </si>
  <si>
    <t>ช่างเครื่องจักร กชฝ.กช.</t>
  </si>
  <si>
    <t>ป.2 ชั้น 20.5 (16340.-บาท)</t>
  </si>
  <si>
    <t>https://drive.google.com/file/d/1XdwC0Aij9M7VDvmGTDDM7lZXHysCb5ND/view?usp=drivesdk</t>
  </si>
  <si>
    <t>0841133576</t>
  </si>
  <si>
    <t>Jj_zzaa@hotmail.com</t>
  </si>
  <si>
    <t>OF2059791</t>
  </si>
  <si>
    <t>PKF-THAI-01202</t>
  </si>
  <si>
    <t>ชัยวัฒน์</t>
  </si>
  <si>
    <t>มุ่งแฝงกลาง</t>
  </si>
  <si>
    <t>Chaiwat</t>
  </si>
  <si>
    <t>Mungfangklang</t>
  </si>
  <si>
    <t>พลประจำรถพ่วงเครื่องมือใช้ลมอัดและเครื่องอัดลม</t>
  </si>
  <si>
    <t>นายสิบเตรียมการ ผตก.รร.ช.กช.</t>
  </si>
  <si>
    <t>https://drive.google.com/file/d/1eX1R2DxGMJEUbUNk9TAuXMk4cTubijqF/view?usp=drivesdk</t>
  </si>
  <si>
    <t>เล็ก</t>
  </si>
  <si>
    <t>OF2059793</t>
  </si>
  <si>
    <t>PKF-THAI-01326</t>
  </si>
  <si>
    <t>เวชศิริ</t>
  </si>
  <si>
    <t>Sahutsavat</t>
  </si>
  <si>
    <t>Wetsiri</t>
  </si>
  <si>
    <t>พลประจำรถถากถาง ช.11 พัน.602</t>
  </si>
  <si>
    <t>https://drive.google.com/file/d/1-CT6yV9Ce5LhWl1dhIZr4hmeq3FOtXpi/view?usp=drivesdk</t>
  </si>
  <si>
    <t>armbaejub</t>
  </si>
  <si>
    <t>sayom3571138@gmail.com</t>
  </si>
  <si>
    <t>OF2059797</t>
  </si>
  <si>
    <t>PKF-THAI-01327</t>
  </si>
  <si>
    <t>ณฐพล</t>
  </si>
  <si>
    <t>เทพวงษ์</t>
  </si>
  <si>
    <t>Nutthaphon</t>
  </si>
  <si>
    <t>Tapwong</t>
  </si>
  <si>
    <t>พลประจำชุดไฟฟ้าส่องสว่าง</t>
  </si>
  <si>
    <t>พลประจำเครื่องมือกล กชฝ.กช.</t>
  </si>
  <si>
    <t>ป.1 ชั้น 24.5 (13310.-บาท)</t>
  </si>
  <si>
    <t>https://drive.google.com/file/d/1bDasc2BAQKHOEZQSXN7nC9Dc2bYUZJq9/view?usp=drivesdk</t>
  </si>
  <si>
    <t>OF2059307</t>
  </si>
  <si>
    <t>PKF-THAI-01203</t>
  </si>
  <si>
    <t>ชยากร</t>
  </si>
  <si>
    <t>อุตสา</t>
  </si>
  <si>
    <t>Outsa</t>
  </si>
  <si>
    <t>พลประจำ รยบ.ปกติขนาดใหญ่/พลประจำปั้มน้ำ</t>
  </si>
  <si>
    <t>ผบ.หมู่ พัน.บร.กบร.กช.</t>
  </si>
  <si>
    <t>https://drive.google.com/file/d/1K6T09CcOASf_9utwvkmemkFottKMqoMm/view?usp=drivesdk</t>
  </si>
  <si>
    <t>อาร์ท</t>
  </si>
  <si>
    <t>art-32</t>
  </si>
  <si>
    <t>chayakorn522@gmail.comc</t>
  </si>
  <si>
    <t>OF2059643</t>
  </si>
  <si>
    <t>PKF-THAI-01328</t>
  </si>
  <si>
    <t>น.1 ชั้น 29 (22600.-บาท)</t>
  </si>
  <si>
    <t>https://drive.google.com/file/d/1UnrSUw11xft7MceOOxCJp87buxYruL0j/view?usp=drivesdk</t>
  </si>
  <si>
    <t>แสตมป์</t>
  </si>
  <si>
    <t>pongpitoon</t>
  </si>
  <si>
    <t>stampcher@gmail.com</t>
  </si>
  <si>
    <t>OF2017712</t>
  </si>
  <si>
    <t>PKF-THAI-01204</t>
  </si>
  <si>
    <t>https://drive.google.com/file/d/1rfFRbXQKCGB8S3bjxf2qKwB9h7VKv1tZ/view?usp=drivesdk</t>
  </si>
  <si>
    <t>จ๊อด</t>
  </si>
  <si>
    <t>0623041034</t>
  </si>
  <si>
    <t>Paisanjod.2261@gmail.com</t>
  </si>
  <si>
    <t>OF2059877</t>
  </si>
  <si>
    <t>PKF-THAI-01372</t>
  </si>
  <si>
    <t>พานเพชร</t>
  </si>
  <si>
    <t>เกสร</t>
  </si>
  <si>
    <t>Phanphet</t>
  </si>
  <si>
    <t>Kesorn</t>
  </si>
  <si>
    <t>พลยิง หมู่ ค.60 มม. มว.ค.60 มม.ร้อย.อวบ.ร.111พัน2</t>
  </si>
  <si>
    <t>https://drive.google.com/file/d/1-5ZbvcbP0TxyBMwHs0w3p2ZBjl9kdQtC/view?usp=drivesdk</t>
  </si>
  <si>
    <t>รุก</t>
  </si>
  <si>
    <t>0991647733</t>
  </si>
  <si>
    <t>phanphet1996@gmail.com</t>
  </si>
  <si>
    <t>OF2059539</t>
  </si>
  <si>
    <t>PKF-THAI-01330</t>
  </si>
  <si>
    <t>ปกรณ์</t>
  </si>
  <si>
    <t>คงแก้วขาว</t>
  </si>
  <si>
    <t>Pakorn</t>
  </si>
  <si>
    <t>Kongkaewkao</t>
  </si>
  <si>
    <t>พลขับ รยบ.ขนาดเบา 4x4 แบบ 51A ติดตั้ง ปก.38</t>
  </si>
  <si>
    <t>พลยิงอาวุธต่อสู้รถถัง บก.มว.มว.ปล.ร้อย.อวบ. ร.111 พัน.2</t>
  </si>
  <si>
    <t>https://drive.google.com/file/d/1IPJ0huvsKa9bm4Rn8Lq_eCYm58ixrRfi/view?usp=drivesdk</t>
  </si>
  <si>
    <t>เจมส์</t>
  </si>
  <si>
    <t>0937568830</t>
  </si>
  <si>
    <t>pagorn2540@gmail.com</t>
  </si>
  <si>
    <t>OF2059537</t>
  </si>
  <si>
    <t>PKF-THAI-01331</t>
  </si>
  <si>
    <t>สรเพชร</t>
  </si>
  <si>
    <t>แก้วสิริพณิชย์</t>
  </si>
  <si>
    <t>Sonpet</t>
  </si>
  <si>
    <t>Kaeosiriphanit</t>
  </si>
  <si>
    <t>พลยิง ค.81</t>
  </si>
  <si>
    <t>https://drive.google.com/file/d/1AV1UWrinyxxxjuW28fCx9iasRhR_-gNu/view?usp=drivesdk</t>
  </si>
  <si>
    <t>กานต์</t>
  </si>
  <si>
    <t>0930907029</t>
  </si>
  <si>
    <t>karn008354@gmail.com</t>
  </si>
  <si>
    <t>OF2059543</t>
  </si>
  <si>
    <t>PKF-THAI-01332</t>
  </si>
  <si>
    <t>สุทิวัส</t>
  </si>
  <si>
    <t>สิงห์แพ</t>
  </si>
  <si>
    <t>Suthiwat</t>
  </si>
  <si>
    <t>Singphae</t>
  </si>
  <si>
    <t>ผบ.หมู่ ปก.</t>
  </si>
  <si>
    <t>ผบ.หมู่ ปล.</t>
  </si>
  <si>
    <t>https://drive.google.com/file/d/1h1YAthUkJ13sCnsN8a4Xy_41bt_9HMLC/view?usp=drivesdk</t>
  </si>
  <si>
    <t>มาร์ท</t>
  </si>
  <si>
    <t>Marssspc</t>
  </si>
  <si>
    <t>sp_suthiwat@hotmail.com</t>
  </si>
  <si>
    <t>OF2059540</t>
  </si>
  <si>
    <t>PKF-THAI-01333</t>
  </si>
  <si>
    <t>ธีระศักดิ์</t>
  </si>
  <si>
    <t>แสงขาล</t>
  </si>
  <si>
    <t>Thirasak</t>
  </si>
  <si>
    <t>Saengkhan</t>
  </si>
  <si>
    <t>พลปืนเล็ก/พลประจำรถเกราะ V-150</t>
  </si>
  <si>
    <t>ผบ.หมู่ ค.60มม.</t>
  </si>
  <si>
    <t>https://drive.google.com/file/d/19zFs-ZaPmRPcIssiddMgSVt9eajQwW23/view?usp=drivesdk</t>
  </si>
  <si>
    <t>theerasak.28</t>
  </si>
  <si>
    <t>boll.theerasak28@gmail.com</t>
  </si>
  <si>
    <t>OF2059542</t>
  </si>
  <si>
    <t>PKF-THAI-01334</t>
  </si>
  <si>
    <t>วรวุฒิ</t>
  </si>
  <si>
    <t>ทวีโคตร</t>
  </si>
  <si>
    <t>Worawut</t>
  </si>
  <si>
    <t>Taweekhot</t>
  </si>
  <si>
    <t>พลปืนเล็ก</t>
  </si>
  <si>
    <t>ป.2 ชั้น 23 (17880.-บาท)</t>
  </si>
  <si>
    <t>https://drive.google.com/file/d/1cfDkS6JsLos5rioRgRePizQD1VUBJOld/view?usp=drivesdk</t>
  </si>
  <si>
    <t>หนุ่ย</t>
  </si>
  <si>
    <t>0980824873</t>
  </si>
  <si>
    <t>Poothai_laonoi894@hotmail.com</t>
  </si>
  <si>
    <t>OF2059536</t>
  </si>
  <si>
    <t>PKF-THAI-01335</t>
  </si>
  <si>
    <t>ขวัญชัย</t>
  </si>
  <si>
    <t>ด้วงมาก</t>
  </si>
  <si>
    <t>Khwanchai</t>
  </si>
  <si>
    <t>Duangmak</t>
  </si>
  <si>
    <t>นายสิบวางระเบิดดักรถถัง ร้อย.บก.ร.111 พัน 1</t>
  </si>
  <si>
    <t>https://drive.google.com/file/d/1R4WGvOeRdYuTmYsFbkgeZ2P8RkFSuGqi/view?usp=drivesdk</t>
  </si>
  <si>
    <t>ขวัญ</t>
  </si>
  <si>
    <t>24972497kd</t>
  </si>
  <si>
    <t>duangmak2497@gmail.com</t>
  </si>
  <si>
    <t>OF2059538</t>
  </si>
  <si>
    <t>PKF-THAI-01205</t>
  </si>
  <si>
    <t>ลิขิต</t>
  </si>
  <si>
    <t>ปัจฉิมะ</t>
  </si>
  <si>
    <t>Likhit</t>
  </si>
  <si>
    <t>Patchima</t>
  </si>
  <si>
    <t>หน.ชุดยิง</t>
  </si>
  <si>
    <t>https://drive.google.com/file/d/1IJ7vZJI3mdFojUNk6-2QbEK54HaSfGBn/view?usp=drivesdk</t>
  </si>
  <si>
    <t>ส.อ. ลิขิต ปัจฉิมะ</t>
  </si>
  <si>
    <t>Binn1994</t>
  </si>
  <si>
    <t>Tikil-123@outlook.co.th</t>
  </si>
  <si>
    <t>OF2059541</t>
  </si>
  <si>
    <t>PKF-THAI-01336</t>
  </si>
  <si>
    <t>สมรัก</t>
  </si>
  <si>
    <t>ผู้ใฝ่มงคล</t>
  </si>
  <si>
    <t>Somrak</t>
  </si>
  <si>
    <t>Pufaimongkon</t>
  </si>
  <si>
    <t>หน.ชุด หมู่ ปล. มว.ปล.ร้อย. อวบ.ร.111พัน 2</t>
  </si>
  <si>
    <t>https://drive.google.com/file/d/1_b9s4mQniru6RcCkaBYv2HDsziwxHuSj/view?usp=drivesdk</t>
  </si>
  <si>
    <t>0932259293</t>
  </si>
  <si>
    <t>somrak00215@gmail.com</t>
  </si>
  <si>
    <t>OF2059547</t>
  </si>
  <si>
    <t>PKF-THAI-01337</t>
  </si>
  <si>
    <t>อัครวิทย์</t>
  </si>
  <si>
    <t>หมากสุก</t>
  </si>
  <si>
    <t>Akarawit</t>
  </si>
  <si>
    <t>Maksuk</t>
  </si>
  <si>
    <t>รอง ผบ.หมู่ หมู่ ลว.มว.ลว.ร้อย.บก.ร.111 พัน.2</t>
  </si>
  <si>
    <t>https://drive.google.com/file/d/1X72HWdCfw1pPOkYsZvgIDhmhLIPh_7sp/view?usp=drivesdk</t>
  </si>
  <si>
    <t>บี๋</t>
  </si>
  <si>
    <t>0627475222</t>
  </si>
  <si>
    <t>Akarawitmaksuk27@gmail.com</t>
  </si>
  <si>
    <t>OF2059546</t>
  </si>
  <si>
    <t>PKF-THAI-01206</t>
  </si>
  <si>
    <t>กฤษณ</t>
  </si>
  <si>
    <t>สุบิน</t>
  </si>
  <si>
    <t>Kissana</t>
  </si>
  <si>
    <t>Subin</t>
  </si>
  <si>
    <t>พลขับรถ ตอนส่งกำลังกองพัน</t>
  </si>
  <si>
    <t>https://drive.google.com/file/d/1TBJErXrBoK2Stkm3xflU7PC2BV6xGJdC/view?usp=drivesdk</t>
  </si>
  <si>
    <t>0956485830</t>
  </si>
  <si>
    <t>kissanasubin@gmail.com</t>
  </si>
  <si>
    <t>OF2059795</t>
  </si>
  <si>
    <t>PKF-THAI-01207</t>
  </si>
  <si>
    <t>ธีระพงษ์</t>
  </si>
  <si>
    <t>ริกำแง</t>
  </si>
  <si>
    <t>Teerapong</t>
  </si>
  <si>
    <t>Rikamngae</t>
  </si>
  <si>
    <t>ผบ.หมู่ ค.60 มม.</t>
  </si>
  <si>
    <t>ป.2 ชั้น 28.5 (21,250.-บาท)</t>
  </si>
  <si>
    <t>https://drive.google.com/file/d/1wigSj-yx-gOCT5ywwOhdY6jS9XCuEyPi/view?usp=drivesdk</t>
  </si>
  <si>
    <t>ต๋อม</t>
  </si>
  <si>
    <t>0656045864</t>
  </si>
  <si>
    <t>teerapongri198585@gmail.com</t>
  </si>
  <si>
    <t>OF2059545</t>
  </si>
  <si>
    <t>PKF-THAI-01338</t>
  </si>
  <si>
    <t>ฤทธิเดช</t>
  </si>
  <si>
    <t>บุญรินทร์</t>
  </si>
  <si>
    <t>Littidet</t>
  </si>
  <si>
    <t>Boonrin</t>
  </si>
  <si>
    <t>พลปืนเล็ก/พลประจำ รยบ.ดัดแปลง PATROL</t>
  </si>
  <si>
    <t>ผบ.หมู่ หมู่ ค.หนัก มว.ค.หนัก ร้อย.ค.หนัก ร.111</t>
  </si>
  <si>
    <t>https://drive.google.com/file/d/1WWOpQ09O7R6ZYAO0AVr9R2h8QpwZPq6n/view?usp=drivesdk</t>
  </si>
  <si>
    <t>ball-144</t>
  </si>
  <si>
    <t>rittidet6206@gmail.com</t>
  </si>
  <si>
    <t>OF2059548</t>
  </si>
  <si>
    <t>PKF-THAI-01339</t>
  </si>
  <si>
    <t>สมเดช</t>
  </si>
  <si>
    <t>เมืองเครือจันทร์</t>
  </si>
  <si>
    <t>Somdet</t>
  </si>
  <si>
    <t>Muangkhrueajan</t>
  </si>
  <si>
    <t>พลปืนเล็ก/พลประจำ รยบ.ขนาดเบา 4x4 แบบ 51A ติดตั้ง ปก.38</t>
  </si>
  <si>
    <t>https://drive.google.com/file/d/1E7Pf_rYu-wRUP2tjIBo0U8vcl-0PRB53/view?usp=drivesdk</t>
  </si>
  <si>
    <t>0654803490</t>
  </si>
  <si>
    <t>somdet262538@gmail.com</t>
  </si>
  <si>
    <t>OF2059553</t>
  </si>
  <si>
    <t>PKF-THAI-01340</t>
  </si>
  <si>
    <t>ศักดิ์ชัย</t>
  </si>
  <si>
    <t>Sakchai</t>
  </si>
  <si>
    <t>นายสิบระดับ ตอนยุทธการและอำนวยการยิง ร้อย.ค.หนัก ร.111</t>
  </si>
  <si>
    <t>0967623342</t>
  </si>
  <si>
    <t>https://drive.google.com/file/d/1kdb3C2yT9Oi2DRj5zYHpzNsU8bm740Rf/view?usp=drivesdk</t>
  </si>
  <si>
    <t>ปอ</t>
  </si>
  <si>
    <t>sakchai508</t>
  </si>
  <si>
    <t>Sakchai240542@gmail.com</t>
  </si>
  <si>
    <t>OF2059550</t>
  </si>
  <si>
    <t>PKF-THAI-01208</t>
  </si>
  <si>
    <t>แว่นตา</t>
  </si>
  <si>
    <t>Waenta</t>
  </si>
  <si>
    <t>พลยิง หมู่ ค.หนัก มว.ค.หนัก ร้อย.ค.หนัก ร.111</t>
  </si>
  <si>
    <t>ป.1 ชั้น 22.5 (12330.-บาท)</t>
  </si>
  <si>
    <t>https://drive.google.com/file/d/1VGjJOf2bwfjMnd2L6HzjKgghHfdeVxyK/view?usp=drivesdk</t>
  </si>
  <si>
    <t>0929400292</t>
  </si>
  <si>
    <t>wisrutwaenta564@gmail.com</t>
  </si>
  <si>
    <t>OF2059794</t>
  </si>
  <si>
    <t>PKF-THAI-01209</t>
  </si>
  <si>
    <t>พงษ์สิทธิ์</t>
  </si>
  <si>
    <t>สิทธิวงค์</t>
  </si>
  <si>
    <t>Pongsit</t>
  </si>
  <si>
    <t>Sittiwong</t>
  </si>
  <si>
    <t>หน.ชุด หมู่ ปล.มว.</t>
  </si>
  <si>
    <t>https://drive.google.com/file/d/1i8LjVQ3JEEzEdkoVpZ6MifFc8F1sZuDd/view?usp=drivesdk</t>
  </si>
  <si>
    <t>ไนท์</t>
  </si>
  <si>
    <t xml:space="preserve">Nightvbvb </t>
  </si>
  <si>
    <t>ponsit30@gmail.com</t>
  </si>
  <si>
    <t>OF2059800</t>
  </si>
  <si>
    <t>PKF-THAI-01210</t>
  </si>
  <si>
    <t>ณัฎฐนันท์</t>
  </si>
  <si>
    <t>ขันธแก้ว</t>
  </si>
  <si>
    <t>Nutthanan</t>
  </si>
  <si>
    <t>Kankaew</t>
  </si>
  <si>
    <t>รอง ผบ.หมู่ หมู่ ลว.มว.ลว.</t>
  </si>
  <si>
    <t>https://drive.google.com/file/d/1UNuoLi1q795GtZLBUYKC7xi7cY78WZgZ/view?usp=drivesdk</t>
  </si>
  <si>
    <t>ฟรังค์</t>
  </si>
  <si>
    <t>nutthanan1997</t>
  </si>
  <si>
    <t>nutthan1997@gmail.com</t>
  </si>
  <si>
    <t>OF2059549</t>
  </si>
  <si>
    <t>PKF-THAI-01211</t>
  </si>
  <si>
    <t>เจนณรงค์</t>
  </si>
  <si>
    <t>สุขวดี</t>
  </si>
  <si>
    <t>Jennarong</t>
  </si>
  <si>
    <t>Sukwadee</t>
  </si>
  <si>
    <t>พลขับรถ หมู่ ค.81 มม.</t>
  </si>
  <si>
    <t>ป.1 ชั้น 19 (10760.-บาท)</t>
  </si>
  <si>
    <t>https://drive.google.com/file/d/1yNcUQiuTbys21GhMRT6I0fMnVFbP-FKt/view?usp=drivesdk</t>
  </si>
  <si>
    <t>0980746599</t>
  </si>
  <si>
    <t>janenarongsukdee@gmail.com</t>
  </si>
  <si>
    <t>OF2059557</t>
  </si>
  <si>
    <t>PKF-THAI-01212</t>
  </si>
  <si>
    <t>วัชราพงษ์</t>
  </si>
  <si>
    <t>ชูจิตร</t>
  </si>
  <si>
    <t>Watcharaphong</t>
  </si>
  <si>
    <t>Chuchit</t>
  </si>
  <si>
    <t>พลยิง หมู่ ค.60 มม.</t>
  </si>
  <si>
    <t>https://drive.google.com/file/d/1h1KDMfNABvVfLdRnr7iUeR7VIoInfrea/view?usp=drivesdk</t>
  </si>
  <si>
    <t>chujit1359</t>
  </si>
  <si>
    <t>chujit1259@gmail.com</t>
  </si>
  <si>
    <t>OF2059802</t>
  </si>
  <si>
    <t>PKF-THAI-01213</t>
  </si>
  <si>
    <t>ทรงศักดิ์</t>
  </si>
  <si>
    <t>ก่ำต้าว</t>
  </si>
  <si>
    <t>Songsak</t>
  </si>
  <si>
    <t>Gumtow</t>
  </si>
  <si>
    <t>ผบ.หมู่ รวป.มว.รวป.ร้อย บก.กรม สน.พล.ร.11</t>
  </si>
  <si>
    <t>https://drive.google.com/file/d/1WpsbIdGKx14v4hrkNh7QPwyC9RVZk75A/view?usp=drivesdk</t>
  </si>
  <si>
    <t>เปรม</t>
  </si>
  <si>
    <t xml:space="preserve">bozoprem </t>
  </si>
  <si>
    <t>bozoprem@gmail.com</t>
  </si>
  <si>
    <t>OF2059554</t>
  </si>
  <si>
    <t>PKF-THAI-01341</t>
  </si>
  <si>
    <t>สราวุธ</t>
  </si>
  <si>
    <t>แสงอรุณ</t>
  </si>
  <si>
    <t>Sarawut</t>
  </si>
  <si>
    <t>Sangarun</t>
  </si>
  <si>
    <t>พลขับรถ ตอน.ซบร.ยานยนต์ กรม ร้อย.บก.กรม สน.พล.ร.11</t>
  </si>
  <si>
    <t>ป.1 ชั้น 20.5 (11400.-บาท)</t>
  </si>
  <si>
    <t>https://drive.google.com/file/d/1EoUkr800i4oRsXrzUpChzFQNfGq8OcfX/view?usp=drivesdk</t>
  </si>
  <si>
    <t>กฤษ</t>
  </si>
  <si>
    <t>kid.1105</t>
  </si>
  <si>
    <t>kid_indy@hotmail.com</t>
  </si>
  <si>
    <t>OF2059559</t>
  </si>
  <si>
    <t>PKF-THAI-01342</t>
  </si>
  <si>
    <t>แสงโชติ</t>
  </si>
  <si>
    <t>Tanapon</t>
  </si>
  <si>
    <t>Sangchot</t>
  </si>
  <si>
    <t>เสมียน ตอน บก.กรม.ร้อย.บก.กรม สน.พล.ร.11</t>
  </si>
  <si>
    <t>https://drive.google.com/file/d/1gSSJPSSVd1FflrfbLVSXj0Yz3QfjEV2T/view?usp=drivesdk</t>
  </si>
  <si>
    <t>ต๊อบ</t>
  </si>
  <si>
    <t>tobarena.</t>
  </si>
  <si>
    <t>tanapons9540@gmail.com</t>
  </si>
  <si>
    <t>OF2059796</t>
  </si>
  <si>
    <t>PKF-THAI-01343</t>
  </si>
  <si>
    <t>สัมพันธ์</t>
  </si>
  <si>
    <t>ศุภไตรภพ</t>
  </si>
  <si>
    <t>Sampan</t>
  </si>
  <si>
    <t>Supatipop</t>
  </si>
  <si>
    <t>ผบ.หมู่ รวป. มว.รวป.ร้อย.บก.กรม สน.พล.ร.11</t>
  </si>
  <si>
    <t>https://drive.google.com/file/d/1jTrLNdtZaBiTUte7BNkdL6QYIgtKztHB/view?usp=drivesdk</t>
  </si>
  <si>
    <t>วา</t>
  </si>
  <si>
    <t>OF2059551</t>
  </si>
  <si>
    <t>PKF-THAI-01214</t>
  </si>
  <si>
    <t>เทิดศักดิ์</t>
  </si>
  <si>
    <t>สังข์พิชัย</t>
  </si>
  <si>
    <t>Thoedsak</t>
  </si>
  <si>
    <t>Sangpichai</t>
  </si>
  <si>
    <t>นายสิบการข่าว ตอน บก.กรม ร้อย.บก.กรม สน.พล.ร.11</t>
  </si>
  <si>
    <t>https://drive.google.com/file/d/1j5p41QVwIS_St_QckFi6_yXbZQ4OxCJn/view?usp=drivesdk</t>
  </si>
  <si>
    <t>เทิด</t>
  </si>
  <si>
    <t>Terdsuk3</t>
  </si>
  <si>
    <t>Terdsukblack10@gmail.com</t>
  </si>
  <si>
    <t>OF2059560</t>
  </si>
  <si>
    <t>PKF-THAI-01215</t>
  </si>
  <si>
    <t>ศิรณัฏฐ</t>
  </si>
  <si>
    <t>จันทร์ฤกษ์</t>
  </si>
  <si>
    <t>Siranat</t>
  </si>
  <si>
    <t>Janruk</t>
  </si>
  <si>
    <t>นายสิบยุทธการ ตอน บก.กรม ร้อย.บก.กรม สน.พล.ร.11</t>
  </si>
  <si>
    <t>https://drive.google.com/file/d/1ThO5AvLOjh1jlvF0DYx03ebe-kkJ6G8z/view?usp=drivesdk</t>
  </si>
  <si>
    <t>ลูกหมี</t>
  </si>
  <si>
    <t>sarayut_304j</t>
  </si>
  <si>
    <t>themee30@gmail.com</t>
  </si>
  <si>
    <t>OF2059729</t>
  </si>
  <si>
    <t>PKF-THAI-01216</t>
  </si>
  <si>
    <t>จอมพล</t>
  </si>
  <si>
    <t>ตัณฑิกุล</t>
  </si>
  <si>
    <t>Jompon</t>
  </si>
  <si>
    <t>Tanthikun</t>
  </si>
  <si>
    <t>https://drive.google.com/file/d/1g2NiFOhhiQjfoTqZUVhNLb6PZNoE1OXn/view?usp=drivesdk</t>
  </si>
  <si>
    <t>แพนด้า</t>
  </si>
  <si>
    <t>0645829819</t>
  </si>
  <si>
    <t>nasunrider@gmail.com</t>
  </si>
  <si>
    <t>OF2059564</t>
  </si>
  <si>
    <t>PKF-THAI-01217</t>
  </si>
  <si>
    <t>ปัญญา</t>
  </si>
  <si>
    <t>ฤทธิ์ทรงเมือง</t>
  </si>
  <si>
    <t>Panya</t>
  </si>
  <si>
    <t>Ridsongmuang</t>
  </si>
  <si>
    <t>ช่างยานยนต์ล้อ ตอน ซบร.ยานยนต์ กรม สน.พล.ร.11</t>
  </si>
  <si>
    <t>https://drive.google.com/file/d/1u3ki0jZ4Qz6ZvKMClWc8zF7K7dGVZbuz/view?usp=drivesdk</t>
  </si>
  <si>
    <t>panya1011</t>
  </si>
  <si>
    <t>panya1011253715@gmail.com</t>
  </si>
  <si>
    <t>OF2059563</t>
  </si>
  <si>
    <t>PKF-THAI-01218</t>
  </si>
  <si>
    <t>เสริมพล</t>
  </si>
  <si>
    <t>พุทธหะ</t>
  </si>
  <si>
    <t>Saloemphon</t>
  </si>
  <si>
    <t>Puttaha</t>
  </si>
  <si>
    <t>พลขับ บก.มว.สส.ร้อย.บก.กรม สน.พล.ร.11</t>
  </si>
  <si>
    <t>https://drive.google.com/file/d/1IRizeOKD3iVOdg4jOW53fWZcFhIhabQQ/view?usp=drivesdk</t>
  </si>
  <si>
    <t>ไอซ์</t>
  </si>
  <si>
    <t>0826655733</t>
  </si>
  <si>
    <t>sermphon1993@gmail.com</t>
  </si>
  <si>
    <t>OF2059571</t>
  </si>
  <si>
    <t>PKF-THAI-01219</t>
  </si>
  <si>
    <t>น.1 ชั้น 30.5 (23700.-บาท)</t>
  </si>
  <si>
    <t>https://drive.google.com/file/d/1HCsIiTsTBpnE0m2CngT-jF5up3pWLNi6/view?usp=drivesdk</t>
  </si>
  <si>
    <t>bbkrerk</t>
  </si>
  <si>
    <t>bbkrerk@gmail.com</t>
  </si>
  <si>
    <t>OF2059568</t>
  </si>
  <si>
    <t>PKF-THAI-01344</t>
  </si>
  <si>
    <t>ทนงศักดิ์</t>
  </si>
  <si>
    <t>ธนชัยสวัสดิ์</t>
  </si>
  <si>
    <t>Thanongsak</t>
  </si>
  <si>
    <t>Thanachaisawat</t>
  </si>
  <si>
    <t>รอง ผบ.มว.บก.มว.ค.หนัก ร้อย.ค.หนัก ร.112</t>
  </si>
  <si>
    <t>ป.3 ชั้น 24 (25530.-บาท)</t>
  </si>
  <si>
    <t>https://drive.google.com/file/d/1smWbfBMIEYMVvLJH6KSXwVQnBBXPD35g/view?usp=drivesdk</t>
  </si>
  <si>
    <t>โต๊ะ</t>
  </si>
  <si>
    <t>thanongsaktoa2528</t>
  </si>
  <si>
    <t>thanongsaktoa2528@gmail.com</t>
  </si>
  <si>
    <t>OF2059566</t>
  </si>
  <si>
    <t>PKF-THAI-01220</t>
  </si>
  <si>
    <t>วีรชน</t>
  </si>
  <si>
    <t>วงษ์มะเซาะ</t>
  </si>
  <si>
    <t>Weerachon</t>
  </si>
  <si>
    <t>Wongsmasoa</t>
  </si>
  <si>
    <t>ผบ.หมู่ รวป. มว.รวป. ร้อย.บก.ร.112</t>
  </si>
  <si>
    <t>https://drive.google.com/file/d/1FiPieVlbv8uaev_BGGLGcTIHUyTHnkEO/view?usp=drivesdk</t>
  </si>
  <si>
    <t>บัง</t>
  </si>
  <si>
    <t>0805159153</t>
  </si>
  <si>
    <t>davidmasor34532112529@gmail.com</t>
  </si>
  <si>
    <t>OF2059569</t>
  </si>
  <si>
    <t>PKF-THAI-01221</t>
  </si>
  <si>
    <t>ภูมิรภีร์</t>
  </si>
  <si>
    <t>ญะเมืองมอญ</t>
  </si>
  <si>
    <t>Poomrapee</t>
  </si>
  <si>
    <t>Yamuangmorn</t>
  </si>
  <si>
    <t>นายสิบกรรมวิธีข้อมูล ฝกม.ร.112</t>
  </si>
  <si>
    <t>https://drive.google.com/file/d/1-9Z7DKzwRchM5b5HLHEtqro8rp1hxQUt/view?usp=drivesdk</t>
  </si>
  <si>
    <t>0626182891</t>
  </si>
  <si>
    <t>Armpoomrapee@gmail.com</t>
  </si>
  <si>
    <t>OF2059586</t>
  </si>
  <si>
    <t>PKF-THAI-01345</t>
  </si>
  <si>
    <t>ณพัฒน์</t>
  </si>
  <si>
    <t>ลิสวัสดิรัตนากุล</t>
  </si>
  <si>
    <t>Napat</t>
  </si>
  <si>
    <t>Liswadiratanakul</t>
  </si>
  <si>
    <t>นายสิบควบคุมข้อมูล ตอน บก.พัน.ร้อย.บก.ร.112 พัน.2</t>
  </si>
  <si>
    <t>https://drive.google.com/file/d/1qdP-b8KLjXr0unP6_A78eJV0qsMaWCyw/view?usp=drivesdk</t>
  </si>
  <si>
    <t>osk125</t>
  </si>
  <si>
    <t>nparsk125@gmail.com</t>
  </si>
  <si>
    <t>OF2059574</t>
  </si>
  <si>
    <t>PKF-THAI-01346</t>
  </si>
  <si>
    <t>แสงชูโต</t>
  </si>
  <si>
    <t>Saengchuto</t>
  </si>
  <si>
    <t>ผบ.หมู่ หมู่ ปล.มว.ปล.ร้อย.ร.ร.112 พัน.2</t>
  </si>
  <si>
    <t>https://drive.google.com/file/d/1bUBuGu_Z6qEDtJSiq1PbXbEZeA38jh3K/view?usp=drivesdk</t>
  </si>
  <si>
    <t>lnwtalent</t>
  </si>
  <si>
    <t>lnwtalent@gmail.com</t>
  </si>
  <si>
    <t>OF2059580</t>
  </si>
  <si>
    <t>PKF-THAI-01347</t>
  </si>
  <si>
    <t>ณรงค์ศักดิ์</t>
  </si>
  <si>
    <t>คำโส</t>
  </si>
  <si>
    <t>narongsak</t>
  </si>
  <si>
    <t>Khamso</t>
  </si>
  <si>
    <t>หน.ชุดยิง หมู่ ปล.มว.ปล.ร้อย.ร.ร.112 พัน.2</t>
  </si>
  <si>
    <t>https://drive.google.com/file/d/118vcW3qHsh0hF3lPonZK22DNoJUSB4Ma/view?usp=drivesdk</t>
  </si>
  <si>
    <t>0800390910</t>
  </si>
  <si>
    <t>narongsakk341@gmail.com</t>
  </si>
  <si>
    <t>OF2059801</t>
  </si>
  <si>
    <t>PKF-THAI-01222</t>
  </si>
  <si>
    <t>ภูมินทร์</t>
  </si>
  <si>
    <t>สมานเมือง</t>
  </si>
  <si>
    <t>Pumin</t>
  </si>
  <si>
    <t>Samanmaung</t>
  </si>
  <si>
    <t>รอง ผบ.หมู่ หมู่ ลว.มว.ลว.ร้อย.บก.ร.112 พัน.2</t>
  </si>
  <si>
    <t>https://drive.google.com/file/d/1_Hkxs2yIa5nPgfkhJAA1B9cy7pvk5h7h/view?usp=drivesdk</t>
  </si>
  <si>
    <t>โอ๋</t>
  </si>
  <si>
    <t>0929956052</t>
  </si>
  <si>
    <t>pumineppp@gmail.com</t>
  </si>
  <si>
    <t>OF2059573</t>
  </si>
  <si>
    <t>PKF-THAI-01223</t>
  </si>
  <si>
    <t>เอกกวี</t>
  </si>
  <si>
    <t>พิณทอง</t>
  </si>
  <si>
    <t>Ekkawee</t>
  </si>
  <si>
    <t>Pintong</t>
  </si>
  <si>
    <t>รอง.ผบ.มว.บก.มว.ปล.ร้อย.ร.ร.112 พัน.2</t>
  </si>
  <si>
    <t>ป.3 ชั้น 21.5 (23700.-บาท)</t>
  </si>
  <si>
    <t>https://drive.google.com/file/d/188ksb3Epkq2Gd3YjSKp8JydG_pKU7SeW/view?usp=drivesdk</t>
  </si>
  <si>
    <t>ดริ้ง</t>
  </si>
  <si>
    <t>Drinkinfantry</t>
  </si>
  <si>
    <t>drink-infantry@hotmail.com</t>
  </si>
  <si>
    <t>OF2059576</t>
  </si>
  <si>
    <t>PKF-THAI-01348</t>
  </si>
  <si>
    <t>บุญผลึก</t>
  </si>
  <si>
    <t>Boonpaluek</t>
  </si>
  <si>
    <t>https://drive.google.com/file/d/1Neag0VluISpS-QobtycibnaEnCMRnp8f/view?usp=drivesdk</t>
  </si>
  <si>
    <t>0936698133</t>
  </si>
  <si>
    <t>opas713077@gmail.com</t>
  </si>
  <si>
    <t>OF2059575</t>
  </si>
  <si>
    <t>PKF-THAI-01224</t>
  </si>
  <si>
    <t>วินัย</t>
  </si>
  <si>
    <t>คำเงิน</t>
  </si>
  <si>
    <t>Winai</t>
  </si>
  <si>
    <t>Khamngoen</t>
  </si>
  <si>
    <t>นายสิบสื่อสาร บก.ร้อย.ร้อย.ร.ร.112 พัน.1</t>
  </si>
  <si>
    <t>https://drive.google.com/file/d/1Aa3YnjA28wRL42ACUsITtcySX71Erszx/view?usp=drivesdk</t>
  </si>
  <si>
    <t>A5323190</t>
  </si>
  <si>
    <t>winaikhamngoen526@gmail.com</t>
  </si>
  <si>
    <t>OF2059808</t>
  </si>
  <si>
    <t>PKF-THAI-01349</t>
  </si>
  <si>
    <t>ปริเยศ</t>
  </si>
  <si>
    <t>วันชูเสริม</t>
  </si>
  <si>
    <t>Pariyet</t>
  </si>
  <si>
    <t>Wanchooserm</t>
  </si>
  <si>
    <t>รอง ผบ.หมู่ หมู่ ลว.มว.ลว.ร้อย.บก.ร.112 พัน.1</t>
  </si>
  <si>
    <t>https://drive.google.com/file/d/1zFx5lSGi6GWslEGivZhjIR9dmw8_I3ak/view?usp=drivesdk</t>
  </si>
  <si>
    <t>นาว</t>
  </si>
  <si>
    <t>manowwanchooserm2535</t>
  </si>
  <si>
    <t>manowpariyet@gmail.com</t>
  </si>
  <si>
    <t>OF2059577</t>
  </si>
  <si>
    <t>PKF-THAI-01350</t>
  </si>
  <si>
    <t>กิตติศักดิ์</t>
  </si>
  <si>
    <t>ปริวัฒนโกศล</t>
  </si>
  <si>
    <t>Kittisak</t>
  </si>
  <si>
    <t>Pariwattanakoson</t>
  </si>
  <si>
    <t>หน.ชุดยิง หมู่ ปล.มว.ปล.ร้อย.ร.ร.112 พัน.1</t>
  </si>
  <si>
    <t>https://drive.google.com/file/d/1eudMNmX6H878giMfHTB_wE4okO-8B6tQ/view?usp=drivesdk</t>
  </si>
  <si>
    <t>พลอย</t>
  </si>
  <si>
    <t>i-ployza</t>
  </si>
  <si>
    <t>ployza1973@gmail.com</t>
  </si>
  <si>
    <t>OF2059581</t>
  </si>
  <si>
    <t>PKF-THAI-01225</t>
  </si>
  <si>
    <t>เฉลิม</t>
  </si>
  <si>
    <t>เคลือบสูงเนิน</t>
  </si>
  <si>
    <t>Chalerm</t>
  </si>
  <si>
    <t>Kaubsoongnern</t>
  </si>
  <si>
    <t>นายสิบช่างอาวุธ บก.ร้อย.ร้อย.บก.ร.112 พัน.3</t>
  </si>
  <si>
    <t>https://drive.google.com/file/d/1tdzxbvozefdgWNzn1dgoSzzNHKEH8uAi/view?usp=drivesdk</t>
  </si>
  <si>
    <t>ต้องตา</t>
  </si>
  <si>
    <t>tongta3857</t>
  </si>
  <si>
    <t>kaskas3289@gmail.com</t>
  </si>
  <si>
    <t>OF2059578</t>
  </si>
  <si>
    <t>PKF-THAI-01351</t>
  </si>
  <si>
    <t>นรภัทร</t>
  </si>
  <si>
    <t>พูนแสง</t>
  </si>
  <si>
    <t>Norapath</t>
  </si>
  <si>
    <t>Poonsaeng</t>
  </si>
  <si>
    <t>ป.1 ชั้น 30 (16040.-บาท)</t>
  </si>
  <si>
    <t>https://drive.google.com/file/d/1IzNv8FFI23qbUszv6XAGOBiP9Q9IQaDk/view?usp=drivesdk</t>
  </si>
  <si>
    <t>นอส</t>
  </si>
  <si>
    <t>nosrasta420</t>
  </si>
  <si>
    <t>nosrasta94@gmail.com</t>
  </si>
  <si>
    <t>OF2059583</t>
  </si>
  <si>
    <t>PKF-THAI-01352</t>
  </si>
  <si>
    <t>อดิศักดิ์</t>
  </si>
  <si>
    <t>พิมูลชาติ</t>
  </si>
  <si>
    <t>AdiIsak</t>
  </si>
  <si>
    <t>Phimoolchart</t>
  </si>
  <si>
    <t>พลสลับสาย ตอนทางสาย มว.สส.ร้อย.บก.ร.112 พัน.3</t>
  </si>
  <si>
    <t>https://drive.google.com/file/d/1pIEa0epXg8kkToxdLDEsA0Dyc_c0Y3Pg/view?usp=drivesdk</t>
  </si>
  <si>
    <t>เชี่ยว</t>
  </si>
  <si>
    <t>123cheerv</t>
  </si>
  <si>
    <t>adisak0649847746@gmail.com</t>
  </si>
  <si>
    <t>OF2059582</t>
  </si>
  <si>
    <t>PKF-THAI-01353</t>
  </si>
  <si>
    <t>วิเชษฐ์</t>
  </si>
  <si>
    <t>คำพุทธ</t>
  </si>
  <si>
    <t>Wichet</t>
  </si>
  <si>
    <t>Kamput</t>
  </si>
  <si>
    <t>https://drive.google.com/file/d/17wKH1BXuAYZ7CM0cnY_Euvrf1ECJ33K8/view?usp=drivesdk</t>
  </si>
  <si>
    <t>แบท</t>
  </si>
  <si>
    <t>Bat114250</t>
  </si>
  <si>
    <t>birt25602017@gmail.com</t>
  </si>
  <si>
    <t>OF2059803</t>
  </si>
  <si>
    <t>PKF-THAI-01226</t>
  </si>
  <si>
    <t>ธนกร</t>
  </si>
  <si>
    <t>เกื้อปัญญา</t>
  </si>
  <si>
    <t>Tanakorn</t>
  </si>
  <si>
    <t>Kueapanya</t>
  </si>
  <si>
    <t>https://drive.google.com/file/d/1_qz8JZL5gngaEQ5KpBa0reJQFLuP_ga0/view?usp=drivesdk</t>
  </si>
  <si>
    <t>ปั้น</t>
  </si>
  <si>
    <t>tnkp013</t>
  </si>
  <si>
    <t>tnkpp013@gmail.com</t>
  </si>
  <si>
    <t>OF2059878</t>
  </si>
  <si>
    <t>PKF-THAI-01227</t>
  </si>
  <si>
    <t>สุวพจน์</t>
  </si>
  <si>
    <t>กาทอง</t>
  </si>
  <si>
    <t>Suwapod</t>
  </si>
  <si>
    <t>Katong</t>
  </si>
  <si>
    <t>พลยิง ค. หมู่ ค.60 มม.มว.ค.60 มม.ร้อย.ร.ร.112 พัน.3</t>
  </si>
  <si>
    <t>https://drive.google.com/file/d/1b4phneBpjbR1vpVXIzqIcVrIvNb2nfBF/view?usp=drivesdk</t>
  </si>
  <si>
    <t>บูม</t>
  </si>
  <si>
    <t>bblihgting</t>
  </si>
  <si>
    <t>suwapodb@icloud.com</t>
  </si>
  <si>
    <t>OF2059579</t>
  </si>
  <si>
    <t>PKF-THAI-01228</t>
  </si>
  <si>
    <t>ภานุพงศ์</t>
  </si>
  <si>
    <t>คำพันธ์</t>
  </si>
  <si>
    <t>Khampan</t>
  </si>
  <si>
    <t>นายสิบกระสุน ร.112</t>
  </si>
  <si>
    <t>https://drive.google.com/file/d/1VVylP2LXNRVxz4ZkVDeVO0P6efcsPWth/view?usp=drivesdk</t>
  </si>
  <si>
    <t>maxkie3857</t>
  </si>
  <si>
    <t>maxkie3857@hotmail.com</t>
  </si>
  <si>
    <t>OF2059806</t>
  </si>
  <si>
    <t>PKF-THAI-01354</t>
  </si>
  <si>
    <t>นพพร</t>
  </si>
  <si>
    <t>เนียมชมภู</t>
  </si>
  <si>
    <t>Nopporn</t>
  </si>
  <si>
    <t>Niamchomphoo</t>
  </si>
  <si>
    <t>https://drive.google.com/file/d/1YSQA0YcVueZry1R4Xhaj0WQdHvLFr_SC/view?usp=drivesdk</t>
  </si>
  <si>
    <t>tum15042538</t>
  </si>
  <si>
    <t>Nopporn18012563@gmail.com</t>
  </si>
  <si>
    <t>OF2059809</t>
  </si>
  <si>
    <t>PKF-THAI-01355</t>
  </si>
  <si>
    <t>มณีโชติ</t>
  </si>
  <si>
    <t>Maneechot</t>
  </si>
  <si>
    <t>https://drive.google.com/file/d/17UaEiznUZvql2LNWLg9opR6-qnylERWJ/view?usp=drivesdk</t>
  </si>
  <si>
    <t>Arm260141</t>
  </si>
  <si>
    <t>Armthanawat468@gmail.com</t>
  </si>
  <si>
    <t>OF2059807</t>
  </si>
  <si>
    <t>PKF-THAI-01229</t>
  </si>
  <si>
    <t>สะราคำ</t>
  </si>
  <si>
    <t>Tum</t>
  </si>
  <si>
    <t>Sarakham</t>
  </si>
  <si>
    <t>ผบ.หมู่ หมู่ป้องกัน ตอน ตถ.มว.ป้องกัน ร้อย.บก.พล.ร.11</t>
  </si>
  <si>
    <t>https://drive.google.com/file/d/1ORarZflhK2SlqARNliJJ_JVfZviqslG7/view?usp=drivesdk</t>
  </si>
  <si>
    <t>tumsarakham123456789</t>
  </si>
  <si>
    <t>tumsarakham3352@gmail.com</t>
  </si>
  <si>
    <t>OF2059731</t>
  </si>
  <si>
    <t>PKF-THAI-01230</t>
  </si>
  <si>
    <t>ฐิติวัฒน์</t>
  </si>
  <si>
    <t>วรรณสอน</t>
  </si>
  <si>
    <t>Thitiwat</t>
  </si>
  <si>
    <t>Wannasorn</t>
  </si>
  <si>
    <t>ช่างเขียน ฝกร.พล.ร.11</t>
  </si>
  <si>
    <t>https://drive.google.com/file/d/1rsws3HJgHEZIP4-QdEQX-5LseBwqLnz2/view?usp=drivesdk</t>
  </si>
  <si>
    <t>Nui211033</t>
  </si>
  <si>
    <t>nuithitiwat@gmail.com</t>
  </si>
  <si>
    <t>OF2059587</t>
  </si>
  <si>
    <t>PKF-THAI-01356</t>
  </si>
  <si>
    <t>รัฐภูมิ</t>
  </si>
  <si>
    <t>ทองแผ่น</t>
  </si>
  <si>
    <t>Ratthapoom</t>
  </si>
  <si>
    <t>Thongpan</t>
  </si>
  <si>
    <t>ช่างเขียน ฝขว.พล.ร.11</t>
  </si>
  <si>
    <t>https://drive.google.com/file/d/1vs4W-k0kujEj-fhmtgZXnXbIhGB_ZmmR/view?usp=drivesdk</t>
  </si>
  <si>
    <t>amz.ng5368</t>
  </si>
  <si>
    <t>tong8883857@gmail.com</t>
  </si>
  <si>
    <t>OF2059589</t>
  </si>
  <si>
    <t>PKF-THAI-01357</t>
  </si>
  <si>
    <t>ปฏิพัทธ์</t>
  </si>
  <si>
    <t>จำปา</t>
  </si>
  <si>
    <t>Patipat</t>
  </si>
  <si>
    <t>Champa</t>
  </si>
  <si>
    <t>ผช.ส.ยุทธการ ฝยก.พล.ร.11</t>
  </si>
  <si>
    <t>https://drive.google.com/file/d/1SGXhe2_hQFk-13rlBCmXWZSJt0UlGnpN/view?usp=drivesdk</t>
  </si>
  <si>
    <t>ท๊อป</t>
  </si>
  <si>
    <t>i_topzii</t>
  </si>
  <si>
    <t>itoppzii@gmail.com</t>
  </si>
  <si>
    <t>OF2059590</t>
  </si>
  <si>
    <t>PKF-THAI-01231</t>
  </si>
  <si>
    <t>ปฏิพัทธิ์</t>
  </si>
  <si>
    <t>เจริญวัย</t>
  </si>
  <si>
    <t>Patiphat</t>
  </si>
  <si>
    <t>Charoenwai</t>
  </si>
  <si>
    <t>จนท.ควบคุมข้อมูล ฝกม.พล.ร.11</t>
  </si>
  <si>
    <t>ป.2 ชั้น 22.5 (17570.-บาท)</t>
  </si>
  <si>
    <t>https://drive.google.com/file/d/1nhdxUyGkTRK2h3ibLKndXy8rWz_wH7UE/view?usp=drivesdk</t>
  </si>
  <si>
    <t>บุ๊ค</t>
  </si>
  <si>
    <t>Patiphatbook</t>
  </si>
  <si>
    <t>bookpatiphat@gmail.com</t>
  </si>
  <si>
    <t>OF2059591</t>
  </si>
  <si>
    <t>PKF-THAI-01232</t>
  </si>
  <si>
    <t>วิชชา</t>
  </si>
  <si>
    <t>อรุณไพร</t>
  </si>
  <si>
    <t>Witcha</t>
  </si>
  <si>
    <t>Aroonpai</t>
  </si>
  <si>
    <t>หน.ชุด หมู่ป้องกัน ตอน ตถ.มว.ป้องกัน ร้อย.บก.พล.ร.11</t>
  </si>
  <si>
    <t>https://drive.google.com/file/d/1L93J-AWNsh6XIKPFw4WZX1HUw3EGIao9/view?usp=drivesdk</t>
  </si>
  <si>
    <t>เอิร์ท</t>
  </si>
  <si>
    <t>earthly36</t>
  </si>
  <si>
    <t>monsierearth@hotmail.com</t>
  </si>
  <si>
    <t>OF2059594</t>
  </si>
  <si>
    <t>PKF-THAI-01358</t>
  </si>
  <si>
    <t>ทศพร</t>
  </si>
  <si>
    <t>เหนียนเฉลย</t>
  </si>
  <si>
    <t>Thotsaphorn</t>
  </si>
  <si>
    <t>Nianchaloei</t>
  </si>
  <si>
    <t>พลขับรถ ตอน ตถ.มว.ป้องกัน ร้อย.บก.พล.ร.11</t>
  </si>
  <si>
    <t>https://drive.google.com/file/d/1cLhSPizwA94dh8guZibbN1wQF9VVn25F/view?usp=drivesdk</t>
  </si>
  <si>
    <t>ติ</t>
  </si>
  <si>
    <t>tichaba-0854795932</t>
  </si>
  <si>
    <t>tichaba915@hotmail.com</t>
  </si>
  <si>
    <t>OF2059804</t>
  </si>
  <si>
    <t>PKF-THAI-01359</t>
  </si>
  <si>
    <t>วัชระเทพ</t>
  </si>
  <si>
    <t>โสวัณณ</t>
  </si>
  <si>
    <t>Sgt</t>
  </si>
  <si>
    <t>Watcharatep</t>
  </si>
  <si>
    <t>Sowanna</t>
  </si>
  <si>
    <t>พลขับรถ มว.ขส.ร้อย บก.พล.ร.11</t>
  </si>
  <si>
    <t>https://drive.google.com/file/d/19cn3i1WxnPbvWQNWEvgwWU64IqVO3OhC/view?usp=drivesdk</t>
  </si>
  <si>
    <t>เพชร</t>
  </si>
  <si>
    <t>0640942489</t>
  </si>
  <si>
    <t>lemonfarm1000rr@yahoo.com</t>
  </si>
  <si>
    <t>OF2059599</t>
  </si>
  <si>
    <t>PKF-THAI-01233</t>
  </si>
  <si>
    <t>อภิรักษ์</t>
  </si>
  <si>
    <t>ชัยเพชร</t>
  </si>
  <si>
    <t>Apirak</t>
  </si>
  <si>
    <t>Chaipach</t>
  </si>
  <si>
    <t>เสมียน ฝกพ.พล.ร.11</t>
  </si>
  <si>
    <t>https://drive.google.com/file/d/16Ndj4teiuBQ6amnIPtIjwvG5h-s6HwXe/view?usp=drivesdk</t>
  </si>
  <si>
    <t>ดัง</t>
  </si>
  <si>
    <t>0954518575</t>
  </si>
  <si>
    <t>noodung44@gmail.com</t>
  </si>
  <si>
    <t>OF2059814</t>
  </si>
  <si>
    <t>PKF-THAI-01234</t>
  </si>
  <si>
    <t>https://drive.google.com/file/d/1G1f1-BYxOAlRyd5ivpjjlYT71xinQ3KE/view?usp=drivesdk</t>
  </si>
  <si>
    <t>นาย</t>
  </si>
  <si>
    <t>OF2025732</t>
  </si>
  <si>
    <t>PKF-THAI-01360</t>
  </si>
  <si>
    <t>น.1 ชั้น 30 (23340.-บาท)</t>
  </si>
  <si>
    <t>https://drive.google.com/file/d/1zSQFpcrGJwA6x87ttQit62eCNHrUSwFj/view?usp=drivesdk</t>
  </si>
  <si>
    <t>อัย</t>
  </si>
  <si>
    <t>mr.kanoot</t>
  </si>
  <si>
    <t>sathirachon@gmail.com</t>
  </si>
  <si>
    <t>OF2067256</t>
  </si>
  <si>
    <t>PKF-THAI-01361</t>
  </si>
  <si>
    <t>น.3 ชั้น 25 (41930.-บาท)</t>
  </si>
  <si>
    <t>https://drive.google.com/file/d/1rXSddqVd8CMjwoM7Ud4ABomsoPCjw6hK/view?usp=drivesdk</t>
  </si>
  <si>
    <t>อิ๊ด</t>
  </si>
  <si>
    <t>waruneefx9@gmail.com</t>
  </si>
  <si>
    <t>OF2059444</t>
  </si>
  <si>
    <t>PKF-THAI-01362</t>
  </si>
  <si>
    <t>น.1 ชั้น 29.5 (22980.-บาท)</t>
  </si>
  <si>
    <t>https://drive.google.com/file/d/1e1hlsS1KtcK_-7yu8s34nU3lehsnTWjq/view?usp=drivesdk</t>
  </si>
  <si>
    <t>ตั๊ก</t>
  </si>
  <si>
    <t>Tak_tiktok</t>
  </si>
  <si>
    <t>gadereal.tak@gmail.com</t>
  </si>
  <si>
    <t>OF2059475</t>
  </si>
  <si>
    <t>PKF-THAI-01363</t>
  </si>
  <si>
    <t>อโนชดา</t>
  </si>
  <si>
    <t>แนบเสลา</t>
  </si>
  <si>
    <t>Anochada</t>
  </si>
  <si>
    <t>Nabsalao</t>
  </si>
  <si>
    <t>นายสิบพยาบาล</t>
  </si>
  <si>
    <t>ผช.พยาบาล รพ.ค่ายอดิศร</t>
  </si>
  <si>
    <t>ป.2 ชั้น 38.5 (28340.-บาท)</t>
  </si>
  <si>
    <t>https://drive.google.com/file/d/1lBw01aQp0sRpCHq81oyLyKI4BNWJQfhy/view?usp=drivesdk</t>
  </si>
  <si>
    <t>จูน</t>
  </si>
  <si>
    <t>muldive</t>
  </si>
  <si>
    <t>anochadanabsalao@gmail.com</t>
  </si>
  <si>
    <t>OF2059447</t>
  </si>
  <si>
    <t>PKF-THAI-01364</t>
  </si>
  <si>
    <t>เกิดแก้ว</t>
  </si>
  <si>
    <t>Kertkaew</t>
  </si>
  <si>
    <t>ผู้ช่วยพยาบาล รพ.ค่ายนวมินทราชินี</t>
  </si>
  <si>
    <t>ป.2 ชั้น 40+ย.4.5 (34680.-บาท)</t>
  </si>
  <si>
    <t>https://drive.google.com/file/d/1g5j8qwXjA0TvUCBHdothlWdT61pPxaQU/view?usp=drivesdk</t>
  </si>
  <si>
    <t>แหม่ม</t>
  </si>
  <si>
    <t>OF2059467</t>
  </si>
  <si>
    <t>PKF-THAI-01365</t>
  </si>
  <si>
    <t>ธมลวรรณ</t>
  </si>
  <si>
    <t>พลุกระโทก</t>
  </si>
  <si>
    <t>Thamolwan</t>
  </si>
  <si>
    <t>Plukrathok</t>
  </si>
  <si>
    <t>นายสิบพยาบาล, อุปกรณ์ทางการแพทย์และทันตกรรม</t>
  </si>
  <si>
    <t>https://drive.google.com/file/d/1uvGCccT5PrMjm7aIdPVlppy_zhJFEELt/view?usp=drivesdk</t>
  </si>
  <si>
    <t>พอลลี่</t>
  </si>
  <si>
    <t>pollymsm</t>
  </si>
  <si>
    <t>thamolwanpk298@gmail.com</t>
  </si>
  <si>
    <t>OF2059476</t>
  </si>
  <si>
    <t>PKF-THAI-01366</t>
  </si>
  <si>
    <t>ศิริ</t>
  </si>
  <si>
    <t>ศิริปัญญา</t>
  </si>
  <si>
    <t>Siri</t>
  </si>
  <si>
    <t>Siripanya</t>
  </si>
  <si>
    <t>นายสิบหัวหน้าชุด มว.พยาบาล ร้อย.สร.สน. พัน.สร.1</t>
  </si>
  <si>
    <t>https://drive.google.com/file/d/1tNbZd6Bwauqckat5yc81H_gIZNIAvv05/view?usp=drivesdk</t>
  </si>
  <si>
    <t>ton.siris1993</t>
  </si>
  <si>
    <t>koshiko009@gmail.com</t>
  </si>
  <si>
    <t>OF2059452</t>
  </si>
  <si>
    <t>PKF-THAI-01367</t>
  </si>
  <si>
    <t>สุวรรณ</t>
  </si>
  <si>
    <t>ไกรเทพ</t>
  </si>
  <si>
    <t>Suwan</t>
  </si>
  <si>
    <t>Kraithep</t>
  </si>
  <si>
    <t>นายสิบห้องผ่าตัด มว.พยาบาล ร้อย.สร.1 พัน.สร.1</t>
  </si>
  <si>
    <t>0909652989</t>
  </si>
  <si>
    <t>https://drive.google.com/file/d/101gWOnd-tJuohgVkifAYLXkaERjtdvTN/view?usp=drivesdk</t>
  </si>
  <si>
    <t>nakared555</t>
  </si>
  <si>
    <t>nal2ikasalza@gmail.com</t>
  </si>
  <si>
    <t>OF2059451</t>
  </si>
  <si>
    <t>PKF-THAI-01368</t>
  </si>
  <si>
    <t>ธีรนัย</t>
  </si>
  <si>
    <t>อินทร์ฉ่ำ</t>
  </si>
  <si>
    <t>Teeranai</t>
  </si>
  <si>
    <t>Aincham</t>
  </si>
  <si>
    <t>นายสิบพยาบาล/พลประจำ รยบ.ขนาด 2 1/2 ตัน</t>
  </si>
  <si>
    <t>นายสิบพยาบาล มว.พยาบาล ร้อย.สร.1 พัน.สร.1</t>
  </si>
  <si>
    <t>https://drive.google.com/file/d/1KpUZepn6vUTSTe03oWVhSPsKTbCduDrM/view?usp=drivesdk</t>
  </si>
  <si>
    <t>OF2059450</t>
  </si>
  <si>
    <t>PKF-THAI-01369</t>
  </si>
  <si>
    <t>นายสิบพยาบาล/พลประจำ รยบ.พยาบาล 4x4 แบบ 51</t>
  </si>
  <si>
    <t>https://drive.google.com/file/d/1rOdhBtFIKjdKK-jpIzM7bzs_kY09WONQ/view?usp=drivesdk</t>
  </si>
  <si>
    <t>chat250130</t>
  </si>
  <si>
    <t>apichatpanya762@gmail.com</t>
  </si>
  <si>
    <t>OF2059868</t>
  </si>
  <si>
    <t>PKF-THAI-01370</t>
  </si>
  <si>
    <t>วัชรพงษ์</t>
  </si>
  <si>
    <t>มีชัย</t>
  </si>
  <si>
    <t>Watcharapong</t>
  </si>
  <si>
    <t>Meechai</t>
  </si>
  <si>
    <t>นายสิบห้องผ่าตัด มว.พยาบาล ร้อย.สร.2 พัน.สร.1</t>
  </si>
  <si>
    <t>https://drive.google.com/file/d/1EqxxBh7YovSZrPcMhf6s9c8iO_I-sZSb/view?usp=drivesdk</t>
  </si>
  <si>
    <t>โอ๊ค</t>
  </si>
  <si>
    <t>wcrp_oak</t>
  </si>
  <si>
    <t>tonoakmeechai@gmail.com</t>
  </si>
  <si>
    <t>OF2059870</t>
  </si>
  <si>
    <t>PKF-THAI-01371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</si>
</sst>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0&quot;0"/>
    <numFmt numFmtId="165" formatCode="d&quot;/&quot;m&quot;/&quot;yy"/>
    <numFmt numFmtId="166" formatCode="yyy-mm-ddThh:mm:ss.000Z"/>
  </numFmts>
  <fonts count="31">
    <font>
      <sz val="10.0"/>
      <color rgb="FF000000"/>
      <name val="Arial"/>
      <scheme val="minor"/>
    </font>
    <font>
      <b/>
      <sz val="14.0"/>
      <color theme="1"/>
      <name val="&quot;TH SarabunPSK&quot;"/>
    </font>
    <font/>
    <font>
      <b/>
      <sz val="14.0"/>
      <color theme="1"/>
      <name val="TH SarabunPSK"/>
    </font>
    <font>
      <color theme="1"/>
      <name val="Arial"/>
      <scheme val="minor"/>
    </font>
    <font>
      <sz val="14.0"/>
      <color theme="1"/>
      <name val="&quot;TH SarabunPSK&quot;"/>
    </font>
    <font>
      <sz val="11.0"/>
      <color theme="1"/>
      <name val="Sarabun"/>
    </font>
    <font>
      <b/>
      <sz val="14.0"/>
      <color rgb="FF000000"/>
      <name val="&quot;TH SarabunPSK&quot;"/>
    </font>
    <font>
      <sz val="14.0"/>
      <color theme="1"/>
      <name val="TH SarabunPSK"/>
    </font>
    <font>
      <sz val="16.0"/>
      <color theme="1"/>
      <name val="&quot;TH SarabunPSK&quot;"/>
    </font>
    <font>
      <b/>
      <sz val="10.0"/>
      <color theme="1"/>
      <name val="Sarabun"/>
    </font>
    <font>
      <sz val="14.0"/>
      <color rgb="FF000000"/>
      <name val="&quot;TH SarabunPSK&quot;"/>
    </font>
    <font>
      <u/>
      <color rgb="FF1155CC"/>
      <name val="Arial"/>
    </font>
    <font>
      <sz val="9.0"/>
      <color rgb="FF000000"/>
      <name val="&quot;Google Sans Mono&quot;"/>
    </font>
    <font>
      <u/>
      <color rgb="FF1155CC"/>
      <name val="Arial"/>
    </font>
    <font>
      <u/>
      <color rgb="FF0000FF"/>
    </font>
    <font>
      <color theme="1"/>
      <name val="Arial"/>
    </font>
    <font>
      <u/>
      <color rgb="FF1155CC"/>
      <name val="Arial"/>
    </font>
    <font>
      <sz val="14.0"/>
      <color rgb="FF000000"/>
      <name val="TH SarabunPSK"/>
    </font>
    <font>
      <b/>
      <u/>
      <sz val="14.0"/>
      <color theme="1"/>
      <name val="&quot;TH SarabunPSK&quot;"/>
    </font>
    <font>
      <b/>
      <u/>
      <sz val="14.0"/>
      <color rgb="FF000000"/>
      <name val="&quot;TH SarabunPSK&quot;"/>
    </font>
    <font>
      <sz val="14.0"/>
      <color rgb="FFFFFFFF"/>
      <name val="&quot;TH SarabunPSK&quot;"/>
    </font>
    <font>
      <sz val="14.0"/>
      <name val="&quot;TH SarabunPSK&quot;"/>
    </font>
    <font>
      <sz val="14.0"/>
      <color rgb="FFFF0000"/>
      <name val="&quot;TH SarabunPSK&quot;"/>
    </font>
    <font>
      <sz val="14.0"/>
      <color rgb="FF1F1F1F"/>
      <name val="TH SarabunPSK"/>
    </font>
    <font>
      <u/>
      <color rgb="FF0000FF"/>
    </font>
    <font>
      <sz val="16.0"/>
      <color rgb="FF000000"/>
      <name val="&quot;TH SarabunPSK&quot;"/>
    </font>
    <font>
      <u/>
      <sz val="11.0"/>
      <color rgb="FF0000FF"/>
      <name val="Sarabun"/>
    </font>
    <font>
      <u/>
      <color rgb="FF1155CC"/>
      <name val="Arial"/>
    </font>
    <font>
      <sz val="16.0"/>
      <color rgb="FFFF0000"/>
      <name val="&quot;TH SarabunPSK&quot;"/>
    </font>
    <font>
      <sz val="12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wrapText="0"/>
    </xf>
    <xf borderId="1" fillId="0" fontId="6" numFmtId="165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0" fillId="2" fontId="7" numFmtId="0" xfId="0" applyAlignment="1" applyFill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1" fillId="0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6" numFmtId="165" xfId="0" applyAlignment="1" applyFont="1" applyNumberFormat="1">
      <alignment horizontal="center" readingOrder="0" vertical="bottom"/>
    </xf>
    <xf borderId="7" fillId="0" fontId="5" numFmtId="0" xfId="0" applyAlignment="1" applyBorder="1" applyFont="1">
      <alignment horizontal="center" readingOrder="0" shrinkToFit="0" vertical="top" wrapText="0"/>
    </xf>
    <xf borderId="7" fillId="0" fontId="5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5" fillId="0" fontId="5" numFmtId="0" xfId="0" applyAlignment="1" applyBorder="1" applyFont="1">
      <alignment horizontal="left" readingOrder="0" shrinkToFit="0" vertical="top" wrapText="0"/>
    </xf>
    <xf borderId="6" fillId="0" fontId="5" numFmtId="0" xfId="0" applyAlignment="1" applyBorder="1" applyFont="1">
      <alignment horizontal="left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5" fillId="0" fontId="9" numFmtId="0" xfId="0" applyAlignment="1" applyBorder="1" applyFont="1">
      <alignment horizontal="left" readingOrder="0" shrinkToFit="0" vertical="bottom" wrapText="0"/>
    </xf>
    <xf borderId="5" fillId="0" fontId="5" numFmtId="164" xfId="0" applyAlignment="1" applyBorder="1" applyFont="1" applyNumberFormat="1">
      <alignment horizontal="center" shrinkToFit="0" vertical="bottom" wrapText="0"/>
    </xf>
    <xf borderId="5" fillId="0" fontId="5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horizontal="left" readingOrder="0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3" fontId="5" numFmtId="0" xfId="0" applyAlignment="1" applyBorder="1" applyFill="1" applyFont="1">
      <alignment horizontal="left" readingOrder="0" shrinkToFit="0" vertical="bottom" wrapText="0"/>
    </xf>
    <xf borderId="5" fillId="0" fontId="5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shrinkToFit="0" vertical="bottom" wrapText="0"/>
    </xf>
    <xf borderId="5" fillId="0" fontId="11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vertical="bottom"/>
    </xf>
    <xf quotePrefix="1" borderId="5" fillId="0" fontId="5" numFmtId="0" xfId="0" applyAlignment="1" applyBorder="1" applyFont="1">
      <alignment horizontal="center" readingOrder="0" shrinkToFit="0" vertical="bottom" wrapText="0"/>
    </xf>
    <xf borderId="6" fillId="0" fontId="6" numFmtId="165" xfId="0" applyAlignment="1" applyBorder="1" applyFont="1" applyNumberFormat="1">
      <alignment horizontal="center" vertical="bottom"/>
    </xf>
    <xf borderId="0" fillId="2" fontId="13" numFmtId="0" xfId="0" applyFill="1" applyFont="1"/>
    <xf borderId="6" fillId="0" fontId="6" numFmtId="0" xfId="0" applyAlignment="1" applyBorder="1" applyFont="1">
      <alignment horizontal="center" readingOrder="0" vertical="bottom"/>
    </xf>
    <xf borderId="0" fillId="0" fontId="14" numFmtId="0" xfId="0" applyAlignment="1" applyFont="1">
      <alignment shrinkToFit="0" vertical="bottom" wrapText="0"/>
    </xf>
    <xf borderId="6" fillId="0" fontId="6" numFmtId="165" xfId="0" applyAlignment="1" applyBorder="1" applyFont="1" applyNumberFormat="1">
      <alignment horizontal="center" vertical="bottom"/>
    </xf>
    <xf borderId="6" fillId="0" fontId="6" numFmtId="0" xfId="0" applyAlignment="1" applyBorder="1" applyFont="1">
      <alignment horizontal="center" readingOrder="0" vertical="bottom"/>
    </xf>
    <xf borderId="0" fillId="0" fontId="6" numFmtId="165" xfId="0" applyAlignment="1" applyFont="1" applyNumberFormat="1">
      <alignment horizontal="center" vertical="bottom"/>
    </xf>
    <xf borderId="8" fillId="0" fontId="6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/>
    </xf>
    <xf borderId="6" fillId="0" fontId="16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right" readingOrder="0" shrinkToFit="0" vertical="top" wrapText="0"/>
    </xf>
    <xf borderId="5" fillId="0" fontId="5" numFmtId="164" xfId="0" applyAlignment="1" applyBorder="1" applyFont="1" applyNumberFormat="1">
      <alignment horizontal="center" readingOrder="0" shrinkToFit="0" vertical="bottom" wrapText="0"/>
    </xf>
    <xf borderId="0" fillId="0" fontId="4" numFmtId="0" xfId="0" applyFont="1"/>
    <xf borderId="0" fillId="0" fontId="17" numFmtId="0" xfId="0" applyAlignment="1" applyFont="1">
      <alignment vertical="bottom"/>
    </xf>
    <xf borderId="5" fillId="0" fontId="5" numFmtId="164" xfId="0" applyAlignment="1" applyBorder="1" applyFont="1" applyNumberFormat="1">
      <alignment horizontal="center" readingOrder="0" shrinkToFit="0" vertical="bottom" wrapText="0"/>
    </xf>
    <xf borderId="6" fillId="0" fontId="6" numFmtId="165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left" readingOrder="0" shrinkToFit="0" vertical="top" wrapText="0"/>
    </xf>
    <xf borderId="5" fillId="0" fontId="5" numFmtId="0" xfId="0" applyAlignment="1" applyBorder="1" applyFont="1">
      <alignment horizontal="left" readingOrder="0" shrinkToFit="0" vertical="top" wrapText="0"/>
    </xf>
    <xf borderId="5" fillId="0" fontId="5" numFmtId="164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left" readingOrder="0" shrinkToFit="0" vertical="bottom" wrapText="0"/>
    </xf>
    <xf borderId="0" fillId="0" fontId="6" numFmtId="165" xfId="0" applyAlignment="1" applyFont="1" applyNumberFormat="1">
      <alignment horizontal="center" vertical="bottom"/>
    </xf>
    <xf borderId="7" fillId="0" fontId="5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horizontal="right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18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2" fontId="13" numFmtId="0" xfId="0" applyFill="1" applyFont="1"/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19" numFmtId="0" xfId="0" applyAlignment="1" applyFont="1">
      <alignment horizontal="center" readingOrder="0" shrinkToFit="0" vertical="bottom" wrapText="0"/>
    </xf>
    <xf borderId="7" fillId="0" fontId="5" numFmtId="0" xfId="0" applyAlignment="1" applyBorder="1" applyFont="1">
      <alignment horizontal="right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5" fillId="0" fontId="8" numFmtId="0" xfId="0" applyAlignment="1" applyBorder="1" applyFont="1">
      <alignment horizontal="left" readingOrder="0" shrinkToFit="0" wrapText="0"/>
    </xf>
    <xf borderId="5" fillId="0" fontId="5" numFmtId="164" xfId="0" applyAlignment="1" applyBorder="1" applyFont="1" applyNumberFormat="1">
      <alignment horizontal="center" shrinkToFit="0" wrapText="0"/>
    </xf>
    <xf borderId="6" fillId="0" fontId="5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shrinkToFit="0" vertical="bottom" wrapText="0"/>
    </xf>
    <xf borderId="5" fillId="0" fontId="5" numFmtId="0" xfId="0" applyAlignment="1" applyBorder="1" applyFont="1">
      <alignment horizontal="left" readingOrder="0" vertical="top"/>
    </xf>
    <xf borderId="0" fillId="0" fontId="20" numFmtId="0" xfId="0" applyAlignment="1" applyFont="1">
      <alignment horizontal="center" readingOrder="0" shrinkToFit="0" vertical="bottom" wrapText="0"/>
    </xf>
    <xf borderId="5" fillId="0" fontId="11" numFmtId="0" xfId="0" applyAlignment="1" applyBorder="1" applyFont="1">
      <alignment horizontal="left" readingOrder="0" shrinkToFit="0" vertical="bottom" wrapText="0"/>
    </xf>
    <xf borderId="5" fillId="0" fontId="21" numFmtId="164" xfId="0" applyAlignment="1" applyBorder="1" applyFont="1" applyNumberFormat="1">
      <alignment horizontal="center" shrinkToFit="0" vertical="bottom" wrapText="0"/>
    </xf>
    <xf borderId="5" fillId="0" fontId="5" numFmtId="164" xfId="0" applyAlignment="1" applyBorder="1" applyFont="1" applyNumberFormat="1">
      <alignment horizontal="center" readingOrder="0" shrinkToFit="0" wrapText="0"/>
    </xf>
    <xf borderId="0" fillId="0" fontId="5" numFmtId="0" xfId="0" applyAlignment="1" applyFont="1">
      <alignment horizontal="left" readingOrder="0" shrinkToFit="0" vertical="top" wrapText="0"/>
    </xf>
    <xf borderId="5" fillId="0" fontId="5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wrapText="0"/>
    </xf>
    <xf borderId="0" fillId="0" fontId="22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6" fillId="0" fontId="5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7" fillId="0" fontId="11" numFmtId="0" xfId="0" applyAlignment="1" applyBorder="1" applyFont="1">
      <alignment horizontal="right" readingOrder="0" shrinkToFit="0" vertical="bottom" wrapText="0"/>
    </xf>
    <xf borderId="5" fillId="0" fontId="11" numFmtId="164" xfId="0" applyAlignment="1" applyBorder="1" applyFont="1" applyNumberFormat="1">
      <alignment horizontal="center" readingOrder="0" shrinkToFit="0" vertical="center" wrapText="0"/>
    </xf>
    <xf borderId="5" fillId="0" fontId="21" numFmtId="164" xfId="0" applyAlignment="1" applyBorder="1" applyFont="1" applyNumberFormat="1">
      <alignment shrinkToFit="0" vertical="bottom" wrapText="0"/>
    </xf>
    <xf borderId="6" fillId="0" fontId="21" numFmtId="0" xfId="0" applyAlignment="1" applyBorder="1" applyFont="1">
      <alignment shrinkToFit="0" vertical="bottom" wrapText="0"/>
    </xf>
    <xf borderId="0" fillId="0" fontId="18" numFmtId="0" xfId="0" applyAlignment="1" applyFont="1">
      <alignment horizontal="left" readingOrder="0" shrinkToFit="0" wrapText="0"/>
    </xf>
    <xf borderId="6" fillId="0" fontId="11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5" fillId="0" fontId="23" numFmtId="164" xfId="0" applyAlignment="1" applyBorder="1" applyFont="1" applyNumberFormat="1">
      <alignment horizontal="center" shrinkToFit="0" vertical="bottom" wrapText="0"/>
    </xf>
    <xf borderId="5" fillId="0" fontId="23" numFmtId="164" xfId="0" applyAlignment="1" applyBorder="1" applyFont="1" applyNumberFormat="1">
      <alignment shrinkToFit="0" vertical="bottom" wrapText="0"/>
    </xf>
    <xf quotePrefix="1" borderId="6" fillId="0" fontId="6" numFmtId="0" xfId="0" applyAlignment="1" applyBorder="1" applyFont="1">
      <alignment horizontal="center" readingOrder="0" vertical="bottom"/>
    </xf>
    <xf borderId="6" fillId="0" fontId="23" numFmtId="0" xfId="0" applyAlignment="1" applyBorder="1" applyFont="1">
      <alignment readingOrder="0" shrinkToFit="0" vertical="bottom" wrapText="0"/>
    </xf>
    <xf borderId="6" fillId="0" fontId="23" numFmtId="0" xfId="0" applyAlignment="1" applyBorder="1" applyFont="1">
      <alignment shrinkToFit="0" vertical="bottom" wrapText="0"/>
    </xf>
    <xf quotePrefix="1" borderId="5" fillId="0" fontId="5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horizontal="right" readingOrder="0" shrinkToFit="0" vertical="bottom" wrapText="0"/>
    </xf>
    <xf borderId="5" fillId="0" fontId="18" numFmtId="0" xfId="0" applyAlignment="1" applyBorder="1" applyFont="1">
      <alignment horizontal="left" readingOrder="0" vertical="top"/>
    </xf>
    <xf borderId="5" fillId="0" fontId="5" numFmtId="0" xfId="0" applyAlignment="1" applyBorder="1" applyFont="1">
      <alignment horizontal="left" readingOrder="0" shrinkToFit="0" wrapText="0"/>
    </xf>
    <xf borderId="5" fillId="0" fontId="11" numFmtId="0" xfId="0" applyAlignment="1" applyBorder="1" applyFont="1">
      <alignment horizontal="center" readingOrder="0" shrinkToFit="0" vertical="top" wrapText="0"/>
    </xf>
    <xf borderId="5" fillId="0" fontId="18" numFmtId="0" xfId="0" applyAlignment="1" applyBorder="1" applyFont="1">
      <alignment horizontal="left" readingOrder="0" shrinkToFit="0" wrapText="0"/>
    </xf>
    <xf borderId="5" fillId="0" fontId="11" numFmtId="0" xfId="0" applyAlignment="1" applyBorder="1" applyFont="1">
      <alignment horizontal="left" readingOrder="0" vertical="top"/>
    </xf>
    <xf borderId="5" fillId="0" fontId="11" numFmtId="0" xfId="0" applyAlignment="1" applyBorder="1" applyFont="1">
      <alignment horizontal="left" readingOrder="0" shrinkToFit="0" vertical="top" wrapText="0"/>
    </xf>
    <xf borderId="5" fillId="0" fontId="5" numFmtId="164" xfId="0" applyAlignment="1" applyBorder="1" applyFont="1" applyNumberFormat="1">
      <alignment horizontal="center" readingOrder="0" shrinkToFit="0" vertical="top" wrapText="0"/>
    </xf>
    <xf borderId="5" fillId="0" fontId="5" numFmtId="164" xfId="0" applyAlignment="1" applyBorder="1" applyFont="1" applyNumberFormat="1">
      <alignment shrinkToFit="0" vertical="top" wrapText="0"/>
    </xf>
    <xf borderId="6" fillId="0" fontId="5" numFmtId="0" xfId="0" applyAlignment="1" applyBorder="1" applyFont="1">
      <alignment readingOrder="0" shrinkToFit="0" vertical="top" wrapText="0"/>
    </xf>
    <xf borderId="7" fillId="0" fontId="18" numFmtId="0" xfId="0" applyAlignment="1" applyBorder="1" applyFont="1">
      <alignment horizontal="right" readingOrder="0" shrinkToFit="0" vertical="top" wrapText="0"/>
    </xf>
    <xf borderId="0" fillId="0" fontId="18" numFmtId="0" xfId="0" applyAlignment="1" applyFont="1">
      <alignment horizontal="left" readingOrder="0" shrinkToFit="0" vertical="top" wrapText="0"/>
    </xf>
    <xf borderId="5" fillId="0" fontId="18" numFmtId="0" xfId="0" applyAlignment="1" applyBorder="1" applyFont="1">
      <alignment horizontal="left" readingOrder="0" shrinkToFit="0" vertical="top" wrapText="0"/>
    </xf>
    <xf borderId="5" fillId="0" fontId="18" numFmtId="0" xfId="0" applyAlignment="1" applyBorder="1" applyFont="1">
      <alignment horizontal="left" readingOrder="0"/>
    </xf>
    <xf borderId="5" fillId="0" fontId="11" numFmtId="0" xfId="0" applyAlignment="1" applyBorder="1" applyFont="1">
      <alignment horizontal="left" readingOrder="0" vertical="top"/>
    </xf>
    <xf borderId="0" fillId="0" fontId="11" numFmtId="0" xfId="0" applyAlignment="1" applyFont="1">
      <alignment horizontal="left" readingOrder="0" shrinkToFit="0" vertical="top" wrapText="0"/>
    </xf>
    <xf borderId="5" fillId="0" fontId="5" numFmtId="164" xfId="0" applyAlignment="1" applyBorder="1" applyFont="1" applyNumberFormat="1">
      <alignment horizontal="center" shrinkToFit="0" vertical="top" wrapText="0"/>
    </xf>
    <xf borderId="5" fillId="0" fontId="11" numFmtId="0" xfId="0" applyAlignment="1" applyBorder="1" applyFont="1">
      <alignment horizontal="center" readingOrder="0" shrinkToFit="0" vertical="top" wrapText="0"/>
    </xf>
    <xf borderId="6" fillId="0" fontId="5" numFmtId="0" xfId="0" applyAlignment="1" applyBorder="1" applyFont="1">
      <alignment horizontal="left" readingOrder="0" shrinkToFit="0" vertical="top" wrapText="0"/>
    </xf>
    <xf borderId="5" fillId="0" fontId="8" numFmtId="0" xfId="0" applyAlignment="1" applyBorder="1" applyFont="1">
      <alignment horizontal="left" readingOrder="0" shrinkToFit="0" vertical="top" wrapText="0"/>
    </xf>
    <xf borderId="7" fillId="0" fontId="8" numFmtId="0" xfId="0" applyAlignment="1" applyBorder="1" applyFont="1">
      <alignment horizontal="right" readingOrder="0" shrinkToFit="0" vertical="top" wrapText="0"/>
    </xf>
    <xf borderId="0" fillId="0" fontId="11" numFmtId="0" xfId="0" applyAlignment="1" applyFont="1">
      <alignment horizontal="right" readingOrder="0" shrinkToFit="0" wrapText="0"/>
    </xf>
    <xf borderId="0" fillId="0" fontId="24" numFmtId="0" xfId="0" applyAlignment="1" applyFont="1">
      <alignment readingOrder="0"/>
    </xf>
    <xf borderId="5" fillId="0" fontId="8" numFmtId="0" xfId="0" applyAlignment="1" applyBorder="1" applyFont="1">
      <alignment horizontal="left" readingOrder="0" shrinkToFit="0" wrapText="0"/>
    </xf>
    <xf borderId="5" fillId="0" fontId="11" numFmtId="0" xfId="0" applyAlignment="1" applyBorder="1" applyFont="1">
      <alignment horizontal="left" readingOrder="0" shrinkToFit="0" wrapText="0"/>
    </xf>
    <xf borderId="6" fillId="0" fontId="11" numFmtId="0" xfId="0" applyAlignment="1" applyBorder="1" applyFont="1">
      <alignment horizontal="left" readingOrder="0" shrinkToFit="0" vertical="top" wrapText="0"/>
    </xf>
    <xf borderId="6" fillId="0" fontId="5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left" readingOrder="0" shrinkToFit="0" vertical="top" wrapText="0"/>
    </xf>
    <xf borderId="7" fillId="0" fontId="11" numFmtId="0" xfId="0" applyAlignment="1" applyBorder="1" applyFont="1">
      <alignment horizontal="right" readingOrder="0" shrinkToFit="0" wrapText="0"/>
    </xf>
    <xf borderId="5" fillId="0" fontId="11" numFmtId="0" xfId="0" applyAlignment="1" applyBorder="1" applyFont="1">
      <alignment horizontal="left" readingOrder="0" shrinkToFit="0" vertical="top" wrapText="0"/>
    </xf>
    <xf borderId="0" fillId="0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vertical="top" wrapText="0"/>
    </xf>
    <xf borderId="5" fillId="0" fontId="8" numFmtId="0" xfId="0" applyAlignment="1" applyBorder="1" applyFont="1">
      <alignment readingOrder="0"/>
    </xf>
    <xf borderId="6" fillId="0" fontId="11" numFmtId="0" xfId="0" applyAlignment="1" applyBorder="1" applyFont="1">
      <alignment horizontal="center" readingOrder="0" shrinkToFit="0" vertical="top" wrapText="0"/>
    </xf>
    <xf borderId="5" fillId="0" fontId="11" numFmtId="0" xfId="0" applyAlignment="1" applyBorder="1" applyFont="1">
      <alignment horizontal="left" readingOrder="0" shrinkToFit="0" wrapText="0"/>
    </xf>
    <xf borderId="6" fillId="0" fontId="1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vertical="bottom"/>
    </xf>
    <xf borderId="7" fillId="0" fontId="11" numFmtId="0" xfId="0" applyAlignment="1" applyBorder="1" applyFont="1">
      <alignment horizontal="right" readingOrder="0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7" fillId="0" fontId="11" numFmtId="0" xfId="0" applyAlignment="1" applyBorder="1" applyFont="1">
      <alignment horizontal="center" readingOrder="0" shrinkToFit="0" vertical="top" wrapText="0"/>
    </xf>
    <xf borderId="0" fillId="0" fontId="11" numFmtId="0" xfId="0" applyAlignment="1" applyFont="1">
      <alignment horizontal="right" shrinkToFit="0" vertical="top" wrapText="0"/>
    </xf>
    <xf borderId="0" fillId="0" fontId="5" numFmtId="0" xfId="0" applyAlignment="1" applyFont="1">
      <alignment horizontal="left" shrinkToFit="0" vertical="top" wrapText="0"/>
    </xf>
    <xf borderId="5" fillId="0" fontId="5" numFmtId="0" xfId="0" applyAlignment="1" applyBorder="1" applyFont="1">
      <alignment horizontal="left" shrinkToFit="0" vertical="top" wrapText="0"/>
    </xf>
    <xf borderId="5" fillId="0" fontId="11" numFmtId="0" xfId="0" applyAlignment="1" applyBorder="1" applyFont="1">
      <alignment horizontal="center" shrinkToFit="0" vertical="top" wrapText="0"/>
    </xf>
    <xf borderId="5" fillId="0" fontId="11" numFmtId="0" xfId="0" applyAlignment="1" applyBorder="1" applyFont="1">
      <alignment readingOrder="0" shrinkToFit="0" vertical="top" wrapText="0"/>
    </xf>
    <xf borderId="6" fillId="0" fontId="6" numFmtId="165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25" numFmtId="0" xfId="0" applyAlignment="1" applyFont="1">
      <alignment readingOrder="0"/>
    </xf>
    <xf borderId="7" fillId="0" fontId="26" numFmtId="0" xfId="0" applyAlignment="1" applyBorder="1" applyFont="1">
      <alignment horizontal="right" readingOrder="0" shrinkToFit="0" vertical="top" wrapText="0"/>
    </xf>
    <xf borderId="6" fillId="0" fontId="27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right" readingOrder="0" shrinkToFit="0" vertical="bottom" wrapText="0"/>
    </xf>
    <xf borderId="6" fillId="0" fontId="11" numFmtId="0" xfId="0" applyAlignment="1" applyBorder="1" applyFont="1">
      <alignment horizontal="left" readingOrder="0" shrinkToFit="0" wrapText="0"/>
    </xf>
    <xf borderId="5" fillId="0" fontId="11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right" readingOrder="0" shrinkToFit="0" vertical="top" wrapText="0"/>
    </xf>
    <xf borderId="10" fillId="0" fontId="5" numFmtId="0" xfId="0" applyAlignment="1" applyBorder="1" applyFont="1">
      <alignment horizontal="left" readingOrder="0" shrinkToFit="0" vertical="top" wrapText="0"/>
    </xf>
    <xf borderId="11" fillId="0" fontId="11" numFmtId="0" xfId="0" applyAlignment="1" applyBorder="1" applyFont="1">
      <alignment horizontal="left" readingOrder="0" shrinkToFit="0" vertical="top" wrapText="0"/>
    </xf>
    <xf borderId="12" fillId="0" fontId="5" numFmtId="0" xfId="0" applyAlignment="1" applyBorder="1" applyFont="1">
      <alignment horizontal="left" readingOrder="0" shrinkToFit="0" vertical="bottom" wrapText="0"/>
    </xf>
    <xf borderId="10" fillId="0" fontId="5" numFmtId="0" xfId="0" applyAlignment="1" applyBorder="1" applyFont="1">
      <alignment horizontal="right" readingOrder="0" shrinkToFit="0" vertical="top" wrapText="0"/>
    </xf>
    <xf borderId="10" fillId="0" fontId="11" numFmtId="0" xfId="0" applyAlignment="1" applyBorder="1" applyFont="1">
      <alignment horizontal="left" readingOrder="0" shrinkToFit="0" vertical="top" wrapText="0"/>
    </xf>
    <xf borderId="11" fillId="0" fontId="11" numFmtId="0" xfId="0" applyAlignment="1" applyBorder="1" applyFont="1">
      <alignment horizontal="center" readingOrder="0" shrinkToFit="0" vertical="top" wrapText="0"/>
    </xf>
    <xf borderId="11" fillId="0" fontId="11" numFmtId="0" xfId="0" applyAlignment="1" applyBorder="1" applyFont="1">
      <alignment horizontal="left" readingOrder="0" shrinkToFit="0" vertical="top" wrapText="0"/>
    </xf>
    <xf borderId="11" fillId="0" fontId="5" numFmtId="0" xfId="0" applyAlignment="1" applyBorder="1" applyFont="1">
      <alignment horizontal="center" readingOrder="0" shrinkToFit="0" vertical="top" wrapText="0"/>
    </xf>
    <xf borderId="11" fillId="0" fontId="5" numFmtId="0" xfId="0" applyAlignment="1" applyBorder="1" applyFont="1">
      <alignment horizontal="center" readingOrder="0" shrinkToFit="0" vertical="bottom" wrapText="0"/>
    </xf>
    <xf borderId="11" fillId="0" fontId="5" numFmtId="164" xfId="0" applyAlignment="1" applyBorder="1" applyFont="1" applyNumberFormat="1">
      <alignment horizontal="center" shrinkToFit="0" vertical="bottom" wrapText="0"/>
    </xf>
    <xf borderId="10" fillId="0" fontId="28" numFmtId="0" xfId="0" applyAlignment="1" applyBorder="1" applyFont="1">
      <alignment shrinkToFit="0" vertical="bottom" wrapText="0"/>
    </xf>
    <xf borderId="12" fillId="0" fontId="6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center" shrinkToFit="0" vertical="bottom" wrapText="0"/>
    </xf>
    <xf borderId="0" fillId="0" fontId="23" numFmtId="164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4" numFmtId="166" xfId="0" applyFont="1" applyNumberFormat="1"/>
    <xf borderId="0" fillId="0" fontId="8" numFmtId="0" xfId="0" applyAlignment="1" applyFont="1">
      <alignment horizontal="left" readingOrder="0" shrinkToFit="0" vertical="bottom" wrapText="0"/>
    </xf>
    <xf borderId="7" fillId="0" fontId="11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quotePrefix="1" borderId="5" fillId="0" fontId="23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top" wrapText="0"/>
    </xf>
    <xf borderId="0" fillId="0" fontId="5" numFmtId="164" xfId="0" applyAlignment="1" applyFont="1" applyNumberFormat="1">
      <alignment horizontal="center" shrinkToFit="0" vertical="top" wrapText="0"/>
    </xf>
    <xf borderId="7" fillId="0" fontId="11" numFmtId="0" xfId="0" applyAlignment="1" applyBorder="1" applyFont="1">
      <alignment horizontal="right" readingOrder="0" shrinkToFit="0" wrapText="0"/>
    </xf>
    <xf borderId="0" fillId="0" fontId="11" numFmtId="0" xfId="0" applyAlignment="1" applyFont="1">
      <alignment horizontal="center" readingOrder="0" shrinkToFit="0" wrapText="0"/>
    </xf>
    <xf borderId="5" fillId="0" fontId="23" numFmtId="164" xfId="0" applyAlignment="1" applyBorder="1" applyFont="1" applyNumberFormat="1">
      <alignment horizontal="center" readingOrder="0" shrinkToFit="0" vertical="bottom" wrapText="0"/>
    </xf>
    <xf borderId="7" fillId="0" fontId="5" numFmtId="0" xfId="0" applyAlignment="1" applyBorder="1" applyFont="1">
      <alignment horizontal="right" readingOrder="0" shrinkToFit="0" wrapText="0"/>
    </xf>
    <xf borderId="0" fillId="0" fontId="1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wrapText="0"/>
    </xf>
    <xf borderId="0" fillId="0" fontId="4" numFmtId="164" xfId="0" applyFont="1" applyNumberFormat="1"/>
    <xf borderId="6" fillId="0" fontId="5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left" readingOrder="0" shrinkToFit="0" vertical="center" wrapText="0"/>
    </xf>
    <xf borderId="5" fillId="0" fontId="18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horizontal="center" shrinkToFit="0" wrapText="0"/>
    </xf>
    <xf borderId="12" fillId="0" fontId="6" numFmtId="0" xfId="0" applyAlignment="1" applyBorder="1" applyFont="1">
      <alignment horizontal="center" readingOrder="0" vertical="bottom"/>
    </xf>
    <xf quotePrefix="1" borderId="0" fillId="0" fontId="5" numFmtId="0" xfId="0" applyAlignment="1" applyFont="1">
      <alignment horizontal="center" shrinkToFit="0" wrapText="0"/>
    </xf>
    <xf borderId="0" fillId="0" fontId="5" numFmtId="165" xfId="0" applyAlignment="1" applyFont="1" applyNumberFormat="1">
      <alignment horizontal="center" shrinkToFit="0" wrapText="0"/>
    </xf>
    <xf borderId="5" fillId="0" fontId="29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left" readingOrder="0" shrinkToFit="0" wrapText="0"/>
    </xf>
    <xf borderId="7" fillId="0" fontId="11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/>
    </xf>
    <xf borderId="11" fillId="2" fontId="30" numFmtId="165" xfId="0" applyAlignment="1" applyBorder="1" applyFill="1" applyFont="1" applyNumberFormat="1">
      <alignment horizontal="center" readingOrder="0" vertical="bottom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10" fillId="0" fontId="5" numFmtId="0" xfId="0" applyAlignment="1" applyBorder="1" applyFont="1">
      <alignment horizontal="left" readingOrder="0" shrinkToFit="0" vertical="bottom" wrapText="0"/>
    </xf>
    <xf borderId="11" fillId="0" fontId="5" numFmtId="0" xfId="0" applyAlignment="1" applyBorder="1" applyFont="1">
      <alignment horizontal="left" readingOrder="0" shrinkToFit="0" vertical="bottom" wrapText="0"/>
    </xf>
    <xf borderId="10" fillId="0" fontId="5" numFmtId="0" xfId="0" applyAlignment="1" applyBorder="1" applyFont="1">
      <alignment horizontal="right" readingOrder="0" shrinkToFit="0" wrapText="0"/>
    </xf>
    <xf borderId="11" fillId="0" fontId="11" numFmtId="0" xfId="0" applyAlignment="1" applyBorder="1" applyFont="1">
      <alignment horizontal="left" readingOrder="0" shrinkToFit="0" vertical="bottom" wrapText="0"/>
    </xf>
    <xf borderId="11" fillId="0" fontId="8" numFmtId="0" xfId="0" applyAlignment="1" applyBorder="1" applyFont="1">
      <alignment readingOrder="0"/>
    </xf>
    <xf borderId="11" fillId="0" fontId="9" numFmtId="0" xfId="0" applyAlignment="1" applyBorder="1" applyFont="1">
      <alignment horizontal="left" readingOrder="0" shrinkToFit="0" vertical="bottom" wrapText="0"/>
    </xf>
    <xf borderId="11" fillId="0" fontId="11" numFmtId="0" xfId="0" applyAlignment="1" applyBorder="1" applyFont="1">
      <alignment horizontal="center" readingOrder="0" shrinkToFit="0" vertical="bottom" wrapText="0"/>
    </xf>
    <xf borderId="11" fillId="0" fontId="5" numFmtId="164" xfId="0" applyAlignment="1" applyBorder="1" applyFont="1" applyNumberFormat="1">
      <alignment shrinkToFit="0" vertical="bottom" wrapText="0"/>
    </xf>
    <xf borderId="12" fillId="0" fontId="5" numFmtId="0" xfId="0" applyAlignment="1" applyBorder="1" applyFont="1">
      <alignment readingOrder="0" shrinkToFit="0" vertical="bottom" wrapText="0"/>
    </xf>
    <xf borderId="12" fillId="0" fontId="5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right" shrinkToFit="0" wrapText="0"/>
    </xf>
    <xf borderId="0" fillId="0" fontId="8" numFmtId="0" xfId="0" applyFont="1"/>
    <xf borderId="0" fillId="0" fontId="5" numFmtId="0" xfId="0" applyAlignment="1" applyFont="1">
      <alignment horizontal="left" shrinkToFit="0" wrapText="0"/>
    </xf>
    <xf borderId="0" fillId="0" fontId="5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0" fontId="4" numFmtId="164" xfId="0" applyFont="1" applyNumberFormat="1"/>
    <xf borderId="0" fillId="0" fontId="4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WzVsxkt7bYZ46YfC_YVqoUcFOx82pG6/view?usp=drivesdk" TargetMode="External"/><Relationship Id="rId190" Type="http://schemas.openxmlformats.org/officeDocument/2006/relationships/hyperlink" Target="https://drive.google.com/file/d/1yX0klBWybiFnyXV5FuOHnj5X3QFLdmda/view?usp=drivesdk" TargetMode="External"/><Relationship Id="rId42" Type="http://schemas.openxmlformats.org/officeDocument/2006/relationships/hyperlink" Target="https://line.me/ti/p/sz8iI456MI" TargetMode="External"/><Relationship Id="rId41" Type="http://schemas.openxmlformats.org/officeDocument/2006/relationships/hyperlink" Target="https://drive.google.com/file/d/1y_fScATAEVHQMX6FmUnwx9BB3wFzPLgS/view?usp=drivesdk" TargetMode="External"/><Relationship Id="rId44" Type="http://schemas.openxmlformats.org/officeDocument/2006/relationships/hyperlink" Target="https://drive.google.com/file/d/14ndQnbO5eje9R24aKXznmEn9MpWj7EjA/view?usp=drivesdk" TargetMode="External"/><Relationship Id="rId194" Type="http://schemas.openxmlformats.org/officeDocument/2006/relationships/hyperlink" Target="https://drive.google.com/file/d/1OroKSbezfP8SeSrh1py_xO-biGzwRzfF/view?usp=drivesdk" TargetMode="External"/><Relationship Id="rId43" Type="http://schemas.openxmlformats.org/officeDocument/2006/relationships/hyperlink" Target="https://drive.google.com/file/d/1I3rOc9Tt220CRxvfiMsC-oqCdMpKVNEU/view?usp=drivesdk" TargetMode="External"/><Relationship Id="rId193" Type="http://schemas.openxmlformats.org/officeDocument/2006/relationships/hyperlink" Target="https://drive.google.com/file/d/1hLK34MYCv9_ITmRMoR1RM57VYtJ0Tr7B/view?usp=drivesdk" TargetMode="External"/><Relationship Id="rId46" Type="http://schemas.openxmlformats.org/officeDocument/2006/relationships/hyperlink" Target="https://drive.google.com/file/d/1MCCWMw5_8lM8Yi9xd64S3jzoipR08uMk/view?usp=drivesdk" TargetMode="External"/><Relationship Id="rId192" Type="http://schemas.openxmlformats.org/officeDocument/2006/relationships/hyperlink" Target="https://drive.google.com/file/d/1_rRAhJfeCmSXQrCQm4sOZxfflSGGbAU6/view?usp=drivesdk" TargetMode="External"/><Relationship Id="rId45" Type="http://schemas.openxmlformats.org/officeDocument/2006/relationships/hyperlink" Target="https://drive.google.com/file/d/1N-S-zLlVc7eiEpCmsAe35769TkQtJgcF/view?usp=drivesdk" TargetMode="External"/><Relationship Id="rId191" Type="http://schemas.openxmlformats.org/officeDocument/2006/relationships/hyperlink" Target="https://drive.google.com/file/d/1aToXPbRyoyHDV-dQ7p3N_MBDiuukSCgl/view?usp=drivesdk" TargetMode="External"/><Relationship Id="rId48" Type="http://schemas.openxmlformats.org/officeDocument/2006/relationships/hyperlink" Target="https://drive.google.com/file/d/10yUYxZpf5-ujtXoit3_vD643232haB2L/view?usp=drivesdk" TargetMode="External"/><Relationship Id="rId187" Type="http://schemas.openxmlformats.org/officeDocument/2006/relationships/hyperlink" Target="https://drive.google.com/file/d/1L8afiI2PX6ND9a4kXCGzJGB0iWS53Z5T/view?usp=drivesdk" TargetMode="External"/><Relationship Id="rId47" Type="http://schemas.openxmlformats.org/officeDocument/2006/relationships/hyperlink" Target="https://drive.google.com/file/d/1ecXU4DSo-FZXaQlDsdXusxJSHA2OI5Q2/view?usp=drivesdk" TargetMode="External"/><Relationship Id="rId186" Type="http://schemas.openxmlformats.org/officeDocument/2006/relationships/hyperlink" Target="https://drive.google.com/file/d/1YETqgNWvq4XgIK4fPoit948cNcQDbkWF/view?usp=drivesdk" TargetMode="External"/><Relationship Id="rId185" Type="http://schemas.openxmlformats.org/officeDocument/2006/relationships/hyperlink" Target="https://drive.google.com/file/d/1EIRiIqaYoWoTg-SiE2sie8j-q7nUZJx7/view?usp=drivesdk" TargetMode="External"/><Relationship Id="rId49" Type="http://schemas.openxmlformats.org/officeDocument/2006/relationships/hyperlink" Target="https://drive.google.com/file/d/1DcYbW_y6kZ1FnKHCbzo4K7mjGKzprcFf/view?usp=drivesdk" TargetMode="External"/><Relationship Id="rId184" Type="http://schemas.openxmlformats.org/officeDocument/2006/relationships/hyperlink" Target="https://drive.google.com/file/d/1PeP8NIndRQj2MbWKJEhTIUg5YSzhCxip/view?usp=drivesdk" TargetMode="External"/><Relationship Id="rId189" Type="http://schemas.openxmlformats.org/officeDocument/2006/relationships/hyperlink" Target="https://drive.google.com/file/d/1MVpAHWVE80Wn0QY7Yuy5PUNjWUsbZnIz/view?usp=drivesdk" TargetMode="External"/><Relationship Id="rId188" Type="http://schemas.openxmlformats.org/officeDocument/2006/relationships/hyperlink" Target="https://drive.google.com/file/d/1Ax9i5x2vyjgRIvBMmhh6QRcSHaWPa1o6/view?usp=drivesdk" TargetMode="External"/><Relationship Id="rId31" Type="http://schemas.openxmlformats.org/officeDocument/2006/relationships/hyperlink" Target="https://drive.google.com/file/d/1xlwpyq3S4v3QfjRViU6gcW9wm5WJpXSk/view?usp=drivesdk" TargetMode="External"/><Relationship Id="rId30" Type="http://schemas.openxmlformats.org/officeDocument/2006/relationships/hyperlink" Target="https://drive.google.com/file/d/1fyWDUyZEhX-Yve47sNLRLPDYCQzF6Ee-/view?usp=drivesdk" TargetMode="External"/><Relationship Id="rId33" Type="http://schemas.openxmlformats.org/officeDocument/2006/relationships/hyperlink" Target="https://drive.google.com/file/d/1Ii1bfFTOVSjX_0_FxzeR8obbeKgW6qEg/view?usp=drivesdk" TargetMode="External"/><Relationship Id="rId183" Type="http://schemas.openxmlformats.org/officeDocument/2006/relationships/hyperlink" Target="https://drive.google.com/file/d/1rHnRnOzZE7v_PaCiChIFYAqkArxWrRbh/view?usp=drivesdk" TargetMode="External"/><Relationship Id="rId32" Type="http://schemas.openxmlformats.org/officeDocument/2006/relationships/hyperlink" Target="https://drive.google.com/file/d/1StTKFLPPjjHWjowf1Yk_N9Y_Rv7n6uji/view?usp=drivesdk" TargetMode="External"/><Relationship Id="rId182" Type="http://schemas.openxmlformats.org/officeDocument/2006/relationships/hyperlink" Target="https://drive.google.com/file/d/1g6ZO_Y_LxwbNp6tikWUiaEB_75O6PNBW/view?usp=drivesdk" TargetMode="External"/><Relationship Id="rId35" Type="http://schemas.openxmlformats.org/officeDocument/2006/relationships/hyperlink" Target="https://drive.google.com/file/d/18_U0i-vjn4b_awJb6PSw_c93NdBlb-7f/view?usp=drivesdk" TargetMode="External"/><Relationship Id="rId181" Type="http://schemas.openxmlformats.org/officeDocument/2006/relationships/hyperlink" Target="https://drive.google.com/file/d/1JmRkErcBBKppFU9_8cAV8c2hCoAgLh72/view?usp=drivesdk" TargetMode="External"/><Relationship Id="rId34" Type="http://schemas.openxmlformats.org/officeDocument/2006/relationships/hyperlink" Target="https://drive.google.com/file/d/1HqkMVxKdpyHpFUofUvS4ln7Qs5uHNq_F/view?usp=drivesdk" TargetMode="External"/><Relationship Id="rId180" Type="http://schemas.openxmlformats.org/officeDocument/2006/relationships/hyperlink" Target="https://drive.google.com/file/d/1HRS7puuYYsJuZM9JSzuFfFC2eF0CTbm_/view?usp=drivesdk" TargetMode="External"/><Relationship Id="rId37" Type="http://schemas.openxmlformats.org/officeDocument/2006/relationships/hyperlink" Target="https://drive.google.com/file/d/1yk-mer1Fq6asuK3IsnxWW116A1GfMZTp/view?usp=drivesdk" TargetMode="External"/><Relationship Id="rId176" Type="http://schemas.openxmlformats.org/officeDocument/2006/relationships/hyperlink" Target="https://drive.google.com/file/d/1FjTxSaIa8w21KZIuJm4Y6Y_I41lcQ0N0/view?usp=drivesdk" TargetMode="External"/><Relationship Id="rId36" Type="http://schemas.openxmlformats.org/officeDocument/2006/relationships/hyperlink" Target="https://drive.google.com/file/d/1s4SdJoXbvQ0SlNIvd6Tswjc2AHEXu4zF/view?usp=drivesdk" TargetMode="External"/><Relationship Id="rId175" Type="http://schemas.openxmlformats.org/officeDocument/2006/relationships/hyperlink" Target="https://drive.google.com/file/d/1zGFZ62FkIn0bULp3M815_5j9yN3rOH9J/view?usp=drivesdk" TargetMode="External"/><Relationship Id="rId39" Type="http://schemas.openxmlformats.org/officeDocument/2006/relationships/hyperlink" Target="https://drive.google.com/file/d/1wA35U5egAvL_bCvgu2SY9gQs7AgaCf9-/view?usp=drivesdk" TargetMode="External"/><Relationship Id="rId174" Type="http://schemas.openxmlformats.org/officeDocument/2006/relationships/hyperlink" Target="https://drive.google.com/file/d/1VwEucHwlZjM-qBjPaObLLeyJKy1_uSgo/view?usp=drivesdk" TargetMode="External"/><Relationship Id="rId38" Type="http://schemas.openxmlformats.org/officeDocument/2006/relationships/hyperlink" Target="https://drive.google.com/file/d/1p-6AhpBj7ktAGm2ofk4Xbm14TmvE5EYB/view?usp=drivesdk" TargetMode="External"/><Relationship Id="rId173" Type="http://schemas.openxmlformats.org/officeDocument/2006/relationships/hyperlink" Target="https://drive.google.com/file/d/1W7zSaSeV3NbG3_vOz4E_N8Zug_07UTZ1/view?usp=drivesdk" TargetMode="External"/><Relationship Id="rId179" Type="http://schemas.openxmlformats.org/officeDocument/2006/relationships/hyperlink" Target="https://drive.google.com/file/d/1PKnhbCweyZ0yvgPIxkVnZURM9J9MCBHW/view?usp=drivesdk" TargetMode="External"/><Relationship Id="rId178" Type="http://schemas.openxmlformats.org/officeDocument/2006/relationships/hyperlink" Target="https://drive.google.com/file/d/1HcnOV7WzooWpL1LbsuInjNvNFzLF9pQ6/view?usp=drivesdk" TargetMode="External"/><Relationship Id="rId177" Type="http://schemas.openxmlformats.org/officeDocument/2006/relationships/hyperlink" Target="https://drive.google.com/file/d/1rYfzGBRtxtL88xV-qc_Imhe0dr2Lwv0u/view?usp=drivesdk" TargetMode="External"/><Relationship Id="rId20" Type="http://schemas.openxmlformats.org/officeDocument/2006/relationships/hyperlink" Target="https://drive.google.com/file/d/1lhjlj1c485lSYyY5R5Qe7bdEGKYEZfTs/view?usp=drivesdk" TargetMode="External"/><Relationship Id="rId22" Type="http://schemas.openxmlformats.org/officeDocument/2006/relationships/hyperlink" Target="https://drive.google.com/file/d/1SkNaWNMQDzfVATQvHoAN0m3h1IZl9kWj/view?usp=drivesdk" TargetMode="External"/><Relationship Id="rId21" Type="http://schemas.openxmlformats.org/officeDocument/2006/relationships/hyperlink" Target="https://drive.google.com/file/d/1moTJnpcvPohVSueg2tu1TIng5Rpjtb-I/view?usp=drivesdk" TargetMode="External"/><Relationship Id="rId24" Type="http://schemas.openxmlformats.org/officeDocument/2006/relationships/hyperlink" Target="https://drive.google.com/file/d/157ZfdxI1mpvgX2QNkDC4TXSY-bQB6-jZ/view?usp=drivesdk" TargetMode="External"/><Relationship Id="rId23" Type="http://schemas.openxmlformats.org/officeDocument/2006/relationships/hyperlink" Target="https://drive.google.com/file/d/1xMJxCMusvPJttNEw87lVYs6mlbCRRc_w/view?usp=drivesdk" TargetMode="External"/><Relationship Id="rId26" Type="http://schemas.openxmlformats.org/officeDocument/2006/relationships/hyperlink" Target="https://drive.google.com/file/d/1Rss1c_7-5622o2SfwOvX6LN0Rj0j_AWZ/view?usp=drivesdk" TargetMode="External"/><Relationship Id="rId25" Type="http://schemas.openxmlformats.org/officeDocument/2006/relationships/hyperlink" Target="https://drive.google.com/file/d/1UZP49VkAdO8yrwQdgFpqNd7quU8fnTRP/view?usp=drivesdk" TargetMode="External"/><Relationship Id="rId28" Type="http://schemas.openxmlformats.org/officeDocument/2006/relationships/hyperlink" Target="https://drive.google.com/file/d/1_GT9xjvzkwoWYMFXNl9gum2IYNcL1QLZ/view?usp=drivesdk" TargetMode="External"/><Relationship Id="rId27" Type="http://schemas.openxmlformats.org/officeDocument/2006/relationships/hyperlink" Target="https://drive.google.com/file/d/1Rli-QK-c9-mVCmp5LNboExLKn_IVYY2_/view?usp=drivesdk" TargetMode="External"/><Relationship Id="rId29" Type="http://schemas.openxmlformats.org/officeDocument/2006/relationships/hyperlink" Target="https://drive.google.com/file/d/1kW4Ym_bqReizVSubZvHJRYQKnrOmXLRD/view?usp=drivesdk" TargetMode="External"/><Relationship Id="rId11" Type="http://schemas.openxmlformats.org/officeDocument/2006/relationships/hyperlink" Target="https://drive.google.com/file/d/1CIeMjBjkXsCZGnEBelhSLO_SCs4PWTDl/view?usp=drivesdk" TargetMode="External"/><Relationship Id="rId10" Type="http://schemas.openxmlformats.org/officeDocument/2006/relationships/hyperlink" Target="https://drive.google.com/file/d/1lubT0KTTqniDhG6dgb2LN_OxRhCfwQlT/view?usp=drivesdk" TargetMode="External"/><Relationship Id="rId13" Type="http://schemas.openxmlformats.org/officeDocument/2006/relationships/hyperlink" Target="https://drive.google.com/file/d/1iTdF1glELQ_kejotGx_RxPLDTLSRjTGR/view?usp=drivesdk" TargetMode="External"/><Relationship Id="rId12" Type="http://schemas.openxmlformats.org/officeDocument/2006/relationships/hyperlink" Target="https://drive.google.com/file/d/17GoBlGLZLwr-NAG3dvXyyHNvklbh6QHX/view?usp=drivesdk" TargetMode="External"/><Relationship Id="rId15" Type="http://schemas.openxmlformats.org/officeDocument/2006/relationships/hyperlink" Target="https://drive.google.com/file/d/1a6sQZh2d2iJnKiQvUdTTD1usIXATg0ki/view?usp=drivesdk" TargetMode="External"/><Relationship Id="rId198" Type="http://schemas.openxmlformats.org/officeDocument/2006/relationships/hyperlink" Target="https://drive.google.com/file/d/1eX1R2DxGMJEUbUNk9TAuXMk4cTubijqF/view?usp=drivesdk" TargetMode="External"/><Relationship Id="rId14" Type="http://schemas.openxmlformats.org/officeDocument/2006/relationships/hyperlink" Target="https://drive.google.com/file/d/1-BvJzfTaNScYNreRsDTPN201kPj1wqsm/view?usp=drivesdk" TargetMode="External"/><Relationship Id="rId197" Type="http://schemas.openxmlformats.org/officeDocument/2006/relationships/hyperlink" Target="https://drive.google.com/file/d/1XdwC0Aij9M7VDvmGTDDM7lZXHysCb5ND/view?usp=drivesdk" TargetMode="External"/><Relationship Id="rId17" Type="http://schemas.openxmlformats.org/officeDocument/2006/relationships/hyperlink" Target="https://drive.google.com/file/d/11nREyXEcQzcaE5ymQN6_ro5_yTV1fBmQ/view?usp=drivesdk" TargetMode="External"/><Relationship Id="rId196" Type="http://schemas.openxmlformats.org/officeDocument/2006/relationships/hyperlink" Target="https://drive.google.com/file/d/1nybu2qMLsIMHu34aEdt19hzUHG7Kegk_/view?usp=drivesdk" TargetMode="External"/><Relationship Id="rId16" Type="http://schemas.openxmlformats.org/officeDocument/2006/relationships/hyperlink" Target="https://drive.google.com/file/d/1q-XOz5JIWCny948j8Qihlj9J6FiuFwRB/view?usp=drivesdk" TargetMode="External"/><Relationship Id="rId195" Type="http://schemas.openxmlformats.org/officeDocument/2006/relationships/hyperlink" Target="https://drive.google.com/file/d/1ROew9Kr85Ffr-EXJYrZdzVVCreCw6SHi/view?usp=drivesdk" TargetMode="External"/><Relationship Id="rId19" Type="http://schemas.openxmlformats.org/officeDocument/2006/relationships/hyperlink" Target="https://drive.google.com/file/d/1eC6u9A51mWwoRPXEBSg8l4lTF62-o1el/view?usp=drivesdk" TargetMode="External"/><Relationship Id="rId18" Type="http://schemas.openxmlformats.org/officeDocument/2006/relationships/hyperlink" Target="https://drive.google.com/file/d/1DolbM2EDkg24KRa01lYAEpD706RGd8AA/view?usp=drivesdk" TargetMode="External"/><Relationship Id="rId199" Type="http://schemas.openxmlformats.org/officeDocument/2006/relationships/hyperlink" Target="https://drive.google.com/file/d/1-CT6yV9Ce5LhWl1dhIZr4hmeq3FOtXpi/view?usp=drivesdk" TargetMode="External"/><Relationship Id="rId84" Type="http://schemas.openxmlformats.org/officeDocument/2006/relationships/hyperlink" Target="https://drive.google.com/file/d/1BWWr4YB3jGhE6K-C3cqraDtq-pE3OUcK/view?usp=drivesdk" TargetMode="External"/><Relationship Id="rId83" Type="http://schemas.openxmlformats.org/officeDocument/2006/relationships/hyperlink" Target="https://drive.google.com/file/d/1DyJmkcbXDOoiqvuR9AMychkAi6F0RZaA/view?usp=drivesdk" TargetMode="External"/><Relationship Id="rId86" Type="http://schemas.openxmlformats.org/officeDocument/2006/relationships/hyperlink" Target="https://drive.google.com/file/d/1175KGI5RpAkJk2B8nxGtr0w1k6i2IUvV/view?usp=drivesdk" TargetMode="External"/><Relationship Id="rId85" Type="http://schemas.openxmlformats.org/officeDocument/2006/relationships/hyperlink" Target="https://drive.google.com/file/d/1j3A_Nrb0i8f27Z_0foxssiVI1-Gj664G/view?usp=drivesdk" TargetMode="External"/><Relationship Id="rId88" Type="http://schemas.openxmlformats.org/officeDocument/2006/relationships/hyperlink" Target="https://drive.google.com/file/d/15GiMkPjz2wcxV4V3eS__2clXWQvanWnt/view?usp=drivesdk" TargetMode="External"/><Relationship Id="rId150" Type="http://schemas.openxmlformats.org/officeDocument/2006/relationships/hyperlink" Target="https://drive.google.com/file/d/1D1VP1yFIJc9H_VrNrasAbd70oxinasDy/view?usp=drivesdk" TargetMode="External"/><Relationship Id="rId271" Type="http://schemas.openxmlformats.org/officeDocument/2006/relationships/hyperlink" Target="https://drive.google.com/file/d/1tNbZd6Bwauqckat5yc81H_gIZNIAvv05/view?usp=drivesdk" TargetMode="External"/><Relationship Id="rId87" Type="http://schemas.openxmlformats.org/officeDocument/2006/relationships/hyperlink" Target="https://drive.google.com/file/d/1N-3NIgjHQ02uuak6nG6u1m2VA-G0Xnb-/view?usp=drivesdk" TargetMode="External"/><Relationship Id="rId270" Type="http://schemas.openxmlformats.org/officeDocument/2006/relationships/hyperlink" Target="https://drive.google.com/file/d/1uvGCccT5PrMjm7aIdPVlppy_zhJFEELt/view?usp=drivesdk" TargetMode="External"/><Relationship Id="rId89" Type="http://schemas.openxmlformats.org/officeDocument/2006/relationships/hyperlink" Target="https://drive.google.com/file/d/1jTiIwWTXG_qekZ70Gy8wciR-f5Q5xhI2/view?usp=drivesdk" TargetMode="External"/><Relationship Id="rId80" Type="http://schemas.openxmlformats.org/officeDocument/2006/relationships/hyperlink" Target="https://drive.google.com/file/d/12zCem1i1eAiJpjbfzTt543YxRD8LZoT-/view?usp=drivesdk" TargetMode="External"/><Relationship Id="rId82" Type="http://schemas.openxmlformats.org/officeDocument/2006/relationships/hyperlink" Target="https://drive.google.com/file/d/1j2aqO6SU6ZAwBfnAXnGGDYeBmsTbZPcC/view?usp=drivesdk" TargetMode="External"/><Relationship Id="rId81" Type="http://schemas.openxmlformats.org/officeDocument/2006/relationships/hyperlink" Target="https://drive.google.com/file/d/1r1rEOSpPwcwjwm6GmvWfjfI6wize5c2p/view?usp=drivesdk" TargetMode="External"/><Relationship Id="rId1" Type="http://schemas.openxmlformats.org/officeDocument/2006/relationships/hyperlink" Target="https://drive.google.com/file/d/1oW903yndbyjMo_d0LEBXyHTtelkcu7tS/view?usp=drivesdk" TargetMode="External"/><Relationship Id="rId2" Type="http://schemas.openxmlformats.org/officeDocument/2006/relationships/hyperlink" Target="https://drive.google.com/file/d/1cm8_towT3j0qlQu7AUxw7f4f9z2iCcbe/view?usp=drivesdk" TargetMode="External"/><Relationship Id="rId3" Type="http://schemas.openxmlformats.org/officeDocument/2006/relationships/hyperlink" Target="https://drive.google.com/file/d/16DS_1Jq0KkRsta8FoJ4oWP7T5oMw_IPU/view?usp=drivesdk" TargetMode="External"/><Relationship Id="rId149" Type="http://schemas.openxmlformats.org/officeDocument/2006/relationships/hyperlink" Target="https://drive.google.com/file/d/1WF19OfNAWQaYWW8kTawEQgDL28cw5gSK/view?usp=drivesdk" TargetMode="External"/><Relationship Id="rId4" Type="http://schemas.openxmlformats.org/officeDocument/2006/relationships/hyperlink" Target="https://drive.google.com/file/d/15qPR93JxJdhVpkq7eXVUDMwIqU-BjtMS/view?usp=drivesdk" TargetMode="External"/><Relationship Id="rId148" Type="http://schemas.openxmlformats.org/officeDocument/2006/relationships/hyperlink" Target="https://drive.google.com/file/d/1foDK0UQzzkbqQ0TUzHgbb4n0pV_JU07r/view?usp=drivesdk" TargetMode="External"/><Relationship Id="rId269" Type="http://schemas.openxmlformats.org/officeDocument/2006/relationships/hyperlink" Target="https://drive.google.com/file/d/1g5j8qwXjA0TvUCBHdothlWdT61pPxaQU/view?usp=drivesdk" TargetMode="External"/><Relationship Id="rId9" Type="http://schemas.openxmlformats.org/officeDocument/2006/relationships/hyperlink" Target="https://drive.google.com/file/d/1hW_TWr2vbOsIzr8-za1XObxpCNhccvI-/view?usp=drivesdk" TargetMode="External"/><Relationship Id="rId143" Type="http://schemas.openxmlformats.org/officeDocument/2006/relationships/hyperlink" Target="http://quinxy.bm" TargetMode="External"/><Relationship Id="rId264" Type="http://schemas.openxmlformats.org/officeDocument/2006/relationships/hyperlink" Target="https://drive.google.com/file/d/1G1f1-BYxOAlRyd5ivpjjlYT71xinQ3KE/view?usp=drivesdk" TargetMode="External"/><Relationship Id="rId142" Type="http://schemas.openxmlformats.org/officeDocument/2006/relationships/hyperlink" Target="https://drive.google.com/file/d/1nPzk2cjF7giWy6pzqTZkENgyeYfTl2DT/view?usp=drivesdk" TargetMode="External"/><Relationship Id="rId263" Type="http://schemas.openxmlformats.org/officeDocument/2006/relationships/hyperlink" Target="https://drive.google.com/file/d/16Ndj4teiuBQ6amnIPtIjwvG5h-s6HwXe/view?usp=drivesdk" TargetMode="External"/><Relationship Id="rId141" Type="http://schemas.openxmlformats.org/officeDocument/2006/relationships/hyperlink" Target="https://drive.google.com/file/d/1TvTBAgXfOSguWqs-HnBKdAs6-xiNmvKW/view?usp=drivesdk" TargetMode="External"/><Relationship Id="rId262" Type="http://schemas.openxmlformats.org/officeDocument/2006/relationships/hyperlink" Target="https://drive.google.com/file/d/19cn3i1WxnPbvWQNWEvgwWU64IqVO3OhC/view?usp=drivesdk" TargetMode="External"/><Relationship Id="rId140" Type="http://schemas.openxmlformats.org/officeDocument/2006/relationships/hyperlink" Target="https://drive.google.com/file/d/1-buk73uK3Nrkr1qV-5n-lfErIilawuwN/view?usp=drivesdk" TargetMode="External"/><Relationship Id="rId261" Type="http://schemas.openxmlformats.org/officeDocument/2006/relationships/hyperlink" Target="https://drive.google.com/file/d/1cLhSPizwA94dh8guZibbN1wQF9VVn25F/view?usp=drivesdk" TargetMode="External"/><Relationship Id="rId5" Type="http://schemas.openxmlformats.org/officeDocument/2006/relationships/hyperlink" Target="https://drive.google.com/file/d/1IWny1kcxmjykdWtQLC4ioR8iPexn88R3/view?usp=drivesdk" TargetMode="External"/><Relationship Id="rId147" Type="http://schemas.openxmlformats.org/officeDocument/2006/relationships/hyperlink" Target="https://drive.google.com/file/d/1XRM5DHuo-NLlRGnPr4Wzub3LYUXURx_G/view?usp=drivesdk" TargetMode="External"/><Relationship Id="rId268" Type="http://schemas.openxmlformats.org/officeDocument/2006/relationships/hyperlink" Target="https://drive.google.com/file/d/1lBw01aQp0sRpCHq81oyLyKI4BNWJQfhy/view?usp=drivesdk" TargetMode="External"/><Relationship Id="rId6" Type="http://schemas.openxmlformats.org/officeDocument/2006/relationships/hyperlink" Target="https://drive.google.com/file/d/13Ac_41z86j4UZAZWrJt6vsO64Y9ZbRuD/view?usp=drivesdk" TargetMode="External"/><Relationship Id="rId146" Type="http://schemas.openxmlformats.org/officeDocument/2006/relationships/hyperlink" Target="https://drive.google.com/file/d/1bwS4hXaGvBLNOLpG4osJq0xVW0UpsQ1q/view?usp=drivesdk" TargetMode="External"/><Relationship Id="rId267" Type="http://schemas.openxmlformats.org/officeDocument/2006/relationships/hyperlink" Target="https://drive.google.com/file/d/1e1hlsS1KtcK_-7yu8s34nU3lehsnTWjq/view?usp=drivesdk" TargetMode="External"/><Relationship Id="rId7" Type="http://schemas.openxmlformats.org/officeDocument/2006/relationships/hyperlink" Target="https://drive.google.com/file/d/17PU3oxIQ2Qa9GisC58jyCE5Km-uqo3Cx/view?usp=drivesdk" TargetMode="External"/><Relationship Id="rId145" Type="http://schemas.openxmlformats.org/officeDocument/2006/relationships/hyperlink" Target="https://drive.google.com/file/d/1tRYMf4F8WVOzKN5wa9u2Np6_bAgw_h-0/view?usp=drivesdk" TargetMode="External"/><Relationship Id="rId266" Type="http://schemas.openxmlformats.org/officeDocument/2006/relationships/hyperlink" Target="https://drive.google.com/file/d/1rXSddqVd8CMjwoM7Ud4ABomsoPCjw6hK/view?usp=drivesdk" TargetMode="External"/><Relationship Id="rId8" Type="http://schemas.openxmlformats.org/officeDocument/2006/relationships/hyperlink" Target="https://drive.google.com/file/d/1LNMkgj_QgnuJwl-zuvK8oOG97nPUL0vO/view?usp=drivesdk" TargetMode="External"/><Relationship Id="rId144" Type="http://schemas.openxmlformats.org/officeDocument/2006/relationships/hyperlink" Target="https://drive.google.com/file/d/10anPeCx8-zy_IguoODYapDN9w-aT_gLM/view?usp=drivesdk" TargetMode="External"/><Relationship Id="rId265" Type="http://schemas.openxmlformats.org/officeDocument/2006/relationships/hyperlink" Target="https://drive.google.com/file/d/1zSQFpcrGJwA6x87ttQit62eCNHrUSwFj/view?usp=drivesdk" TargetMode="External"/><Relationship Id="rId73" Type="http://schemas.openxmlformats.org/officeDocument/2006/relationships/hyperlink" Target="https://drive.google.com/file/d/1Prwrxm2TPlUrP3V-wFbVmGH9TeddApDb/view?usp=drivesdk" TargetMode="External"/><Relationship Id="rId72" Type="http://schemas.openxmlformats.org/officeDocument/2006/relationships/hyperlink" Target="https://drive.google.com/file/d/1A2rkGa-GjlDqB-aCjAYzqQcFzwz03vmc/view?usp=drivesdk" TargetMode="External"/><Relationship Id="rId75" Type="http://schemas.openxmlformats.org/officeDocument/2006/relationships/hyperlink" Target="https://drive.google.com/file/d/1lvCsP5PK_5QvjyRmOYUhlM3FBtzDgZqM/view?usp=drivesdk" TargetMode="External"/><Relationship Id="rId74" Type="http://schemas.openxmlformats.org/officeDocument/2006/relationships/hyperlink" Target="https://drive.google.com/file/d/1dAytlun6ZeYkq1n2VHhRe6NjMRUoMKlA/view?usp=drivesdk" TargetMode="External"/><Relationship Id="rId77" Type="http://schemas.openxmlformats.org/officeDocument/2006/relationships/hyperlink" Target="https://drive.google.com/file/d/1axemLC0aKQpK1v0x8vb7WvNLjLkQl4p7/view?usp=drivesdk" TargetMode="External"/><Relationship Id="rId260" Type="http://schemas.openxmlformats.org/officeDocument/2006/relationships/hyperlink" Target="https://drive.google.com/file/d/1L93J-AWNsh6XIKPFw4WZX1HUw3EGIao9/view?usp=drivesdk" TargetMode="External"/><Relationship Id="rId76" Type="http://schemas.openxmlformats.org/officeDocument/2006/relationships/hyperlink" Target="https://drive.google.com/file/d/1iriqUlje7QRtOcWjzXDoeEVUOZnXenst/view?usp=drivesdk" TargetMode="External"/><Relationship Id="rId79" Type="http://schemas.openxmlformats.org/officeDocument/2006/relationships/hyperlink" Target="https://drive.google.com/file/d/1JYWIfuu3eS-7XPvNAsI9h48u0p6FKkVM/view?usp=drivesdk" TargetMode="External"/><Relationship Id="rId78" Type="http://schemas.openxmlformats.org/officeDocument/2006/relationships/hyperlink" Target="https://drive.google.com/file/d/1M7Tn8x_cRtf4AOFC0oKsF8R-iJOUNTs4/view?usp=drivesdk" TargetMode="External"/><Relationship Id="rId71" Type="http://schemas.openxmlformats.org/officeDocument/2006/relationships/hyperlink" Target="https://drive.google.com/file/d/1Js7AkBdJW5HncXw822bTUF9UkGZvj7SA/view?usp=drivesdk" TargetMode="External"/><Relationship Id="rId70" Type="http://schemas.openxmlformats.org/officeDocument/2006/relationships/hyperlink" Target="https://drive.google.com/file/d/1sI05QB2W3l6suXcT5Z6qPP2XG1T4OB9I/view?usp=drivesdk" TargetMode="External"/><Relationship Id="rId139" Type="http://schemas.openxmlformats.org/officeDocument/2006/relationships/hyperlink" Target="https://drive.google.com/file/d/12-0vI5bL_xRiLaVuroTTydqgEjjzSXKb/view?usp=drivesdk" TargetMode="External"/><Relationship Id="rId138" Type="http://schemas.openxmlformats.org/officeDocument/2006/relationships/hyperlink" Target="https://drive.google.com/file/d/15GB9IQw1hzRJ4CXWQYnG-T26iZkeWpRA/view?usp=drivesdk" TargetMode="External"/><Relationship Id="rId259" Type="http://schemas.openxmlformats.org/officeDocument/2006/relationships/hyperlink" Target="https://drive.google.com/file/d/1nhdxUyGkTRK2h3ibLKndXy8rWz_wH7UE/view?usp=drivesdk" TargetMode="External"/><Relationship Id="rId137" Type="http://schemas.openxmlformats.org/officeDocument/2006/relationships/hyperlink" Target="https://drive.google.com/file/d/1Lri5USOe80fZw-VmmoYPqHrGsGQpTH8b/view?usp=drivesdk" TargetMode="External"/><Relationship Id="rId258" Type="http://schemas.openxmlformats.org/officeDocument/2006/relationships/hyperlink" Target="https://drive.google.com/file/d/1SGXhe2_hQFk-13rlBCmXWZSJt0UlGnpN/view?usp=drivesdk" TargetMode="External"/><Relationship Id="rId132" Type="http://schemas.openxmlformats.org/officeDocument/2006/relationships/hyperlink" Target="https://drive.google.com/file/d/1wjCWsZ8PzN39kXzSzgPpiy2V1dIkgg8b/view?usp=drivesdk" TargetMode="External"/><Relationship Id="rId253" Type="http://schemas.openxmlformats.org/officeDocument/2006/relationships/hyperlink" Target="https://drive.google.com/file/d/1YSQA0YcVueZry1R4Xhaj0WQdHvLFr_SC/view?usp=drivesdk" TargetMode="External"/><Relationship Id="rId131" Type="http://schemas.openxmlformats.org/officeDocument/2006/relationships/hyperlink" Target="https://drive.google.com/file/d/1ZLWTbTQ54GTuxICYFIlGIXiiMYuCt9bP/view?usp=drivesdk" TargetMode="External"/><Relationship Id="rId252" Type="http://schemas.openxmlformats.org/officeDocument/2006/relationships/hyperlink" Target="https://drive.google.com/file/d/1VVylP2LXNRVxz4ZkVDeVO0P6efcsPWth/view?usp=drivesdk" TargetMode="External"/><Relationship Id="rId130" Type="http://schemas.openxmlformats.org/officeDocument/2006/relationships/hyperlink" Target="https://drive.google.com/file/d/1j7wHN6VtHzcGOx_hZGgR1qWwXUVnHwwo/view?usp=drivesdk" TargetMode="External"/><Relationship Id="rId251" Type="http://schemas.openxmlformats.org/officeDocument/2006/relationships/hyperlink" Target="https://drive.google.com/file/d/1b4phneBpjbR1vpVXIzqIcVrIvNb2nfBF/view?usp=drivesdk" TargetMode="External"/><Relationship Id="rId250" Type="http://schemas.openxmlformats.org/officeDocument/2006/relationships/hyperlink" Target="https://drive.google.com/file/d/1_qz8JZL5gngaEQ5KpBa0reJQFLuP_ga0/view?usp=drivesdk" TargetMode="External"/><Relationship Id="rId136" Type="http://schemas.openxmlformats.org/officeDocument/2006/relationships/hyperlink" Target="https://drive.google.com/file/d/1lIaSjkMrM0KWwUP9mu7Qy8pzZvXy85ho/view?usp=drivesdk" TargetMode="External"/><Relationship Id="rId257" Type="http://schemas.openxmlformats.org/officeDocument/2006/relationships/hyperlink" Target="https://drive.google.com/file/d/1vs4W-k0kujEj-fhmtgZXnXbIhGB_ZmmR/view?usp=drivesdk" TargetMode="External"/><Relationship Id="rId135" Type="http://schemas.openxmlformats.org/officeDocument/2006/relationships/hyperlink" Target="https://drive.google.com/file/d/10AwArAiWGZh0Y41LS0geyiQLDu5QPElu/view?usp=drivesdk" TargetMode="External"/><Relationship Id="rId256" Type="http://schemas.openxmlformats.org/officeDocument/2006/relationships/hyperlink" Target="https://drive.google.com/file/d/1rsws3HJgHEZIP4-QdEQX-5LseBwqLnz2/view?usp=drivesdk" TargetMode="External"/><Relationship Id="rId134" Type="http://schemas.openxmlformats.org/officeDocument/2006/relationships/hyperlink" Target="https://drive.google.com/file/d/1c4Ow8SoizCp_I9GKfHecEWbOa_1VBrPA/view?usp=drivesdk" TargetMode="External"/><Relationship Id="rId255" Type="http://schemas.openxmlformats.org/officeDocument/2006/relationships/hyperlink" Target="https://drive.google.com/file/d/1ORarZflhK2SlqARNliJJ_JVfZviqslG7/view?usp=drivesdk" TargetMode="External"/><Relationship Id="rId133" Type="http://schemas.openxmlformats.org/officeDocument/2006/relationships/hyperlink" Target="https://drive.google.com/file/d/1JFZHGXAza9aWRVioimXmG5TgvyZadQmQ/view?usp=drivesdk" TargetMode="External"/><Relationship Id="rId254" Type="http://schemas.openxmlformats.org/officeDocument/2006/relationships/hyperlink" Target="https://drive.google.com/file/d/17UaEiznUZvql2LNWLg9opR6-qnylERWJ/view?usp=drivesdk" TargetMode="External"/><Relationship Id="rId62" Type="http://schemas.openxmlformats.org/officeDocument/2006/relationships/hyperlink" Target="https://drive.google.com/file/d/10RVNRfeLpjfQejlg1BXKgnHUSxm8sJR0/view?usp=drivesdk" TargetMode="External"/><Relationship Id="rId61" Type="http://schemas.openxmlformats.org/officeDocument/2006/relationships/hyperlink" Target="https://drive.google.com/file/d/1QcXvrC-Qwml3NdKHGaxjzJiSI3IeHzK7/view?usp=drivesdk" TargetMode="External"/><Relationship Id="rId64" Type="http://schemas.openxmlformats.org/officeDocument/2006/relationships/hyperlink" Target="https://drive.google.com/file/d/1gmB8RDDfnYpwqj0uBu4O69xs2Pmv2zjN/view?usp=drivesdk" TargetMode="External"/><Relationship Id="rId63" Type="http://schemas.openxmlformats.org/officeDocument/2006/relationships/hyperlink" Target="https://drive.google.com/file/d/1EmaSnWSh3DCLsRFjvNH_-whG-sZEEVGx/view?usp=drivesdk" TargetMode="External"/><Relationship Id="rId66" Type="http://schemas.openxmlformats.org/officeDocument/2006/relationships/hyperlink" Target="https://drive.google.com/file/d/1c03SfkS53G974gIrcwfctBLj8TrhhwZr/view?usp=drivesdk" TargetMode="External"/><Relationship Id="rId172" Type="http://schemas.openxmlformats.org/officeDocument/2006/relationships/hyperlink" Target="https://drive.google.com/file/d/13ffahooyu7B9ALK73Hae_gsp2sYbqVYU/view?usp=drivesdk" TargetMode="External"/><Relationship Id="rId65" Type="http://schemas.openxmlformats.org/officeDocument/2006/relationships/hyperlink" Target="https://drive.google.com/file/d/1jWDjPxBmHbrCe1iCQXPNCcPhWDEhHi7Q/view?usp=drivesdk" TargetMode="External"/><Relationship Id="rId171" Type="http://schemas.openxmlformats.org/officeDocument/2006/relationships/hyperlink" Target="https://drive.google.com/file/d/1KTIlX0wGLif_cfmTW94s1RX1XaYEHPMx/view?usp=drivesdk" TargetMode="External"/><Relationship Id="rId68" Type="http://schemas.openxmlformats.org/officeDocument/2006/relationships/hyperlink" Target="https://drive.google.com/file/d/1PwAUoyOnVki8n25tSQEF55a3JHyGPt7m/view?usp=drivesdk" TargetMode="External"/><Relationship Id="rId170" Type="http://schemas.openxmlformats.org/officeDocument/2006/relationships/hyperlink" Target="https://drive.google.com/file/d/1-uTjO-wEDy5R5jixVuk-X19nFfDsTD0b/view?usp=drivesdk" TargetMode="External"/><Relationship Id="rId67" Type="http://schemas.openxmlformats.org/officeDocument/2006/relationships/hyperlink" Target="https://drive.google.com/file/d/1dY75MI1SQv8SDmCNeMfw76wh_tgIK6F1/view?usp=drivesdk" TargetMode="External"/><Relationship Id="rId60" Type="http://schemas.openxmlformats.org/officeDocument/2006/relationships/hyperlink" Target="https://drive.google.com/file/d/1UUviDjMIRdCicE48oard5eKU39miIgpD/view?usp=drivesdk" TargetMode="External"/><Relationship Id="rId165" Type="http://schemas.openxmlformats.org/officeDocument/2006/relationships/hyperlink" Target="https://drive.google.com/file/d/108_yqAmLHVZTCZUpk8oJSGp1h8vEVNn7/view?usp=drivesdk" TargetMode="External"/><Relationship Id="rId69" Type="http://schemas.openxmlformats.org/officeDocument/2006/relationships/hyperlink" Target="https://drive.google.com/file/d/167j3qdpVrKufBUIBNDFAXsmM5gPfAwlg/view?usp=drivesdk" TargetMode="External"/><Relationship Id="rId164" Type="http://schemas.openxmlformats.org/officeDocument/2006/relationships/hyperlink" Target="https://drive.google.com/file/d/1VxawUyyVQjvY-XKeLjIeTrANWZZ429sK/view?usp=drivesdk" TargetMode="External"/><Relationship Id="rId163" Type="http://schemas.openxmlformats.org/officeDocument/2006/relationships/hyperlink" Target="https://drive.google.com/file/d/1AtAVOugNG2t07KOSjNbtyNf0QdemWyQl/view?usp=drivesdk" TargetMode="External"/><Relationship Id="rId162" Type="http://schemas.openxmlformats.org/officeDocument/2006/relationships/hyperlink" Target="https://drive.google.com/file/d/1AhXtWsDXcQPvxWtRkloPsfAOQrTpo7XQ/view?usp=drivesdk" TargetMode="External"/><Relationship Id="rId169" Type="http://schemas.openxmlformats.org/officeDocument/2006/relationships/hyperlink" Target="https://drive.google.com/file/d/1ACddTuIMimPTdwaIN5BusXgJQyzXXart/view?usp=drivesdk" TargetMode="External"/><Relationship Id="rId168" Type="http://schemas.openxmlformats.org/officeDocument/2006/relationships/hyperlink" Target="https://drive.google.com/file/d/1NYXRToWGpioB0fHNqePrGWU2MmMThiin/view?usp=drivesdk" TargetMode="External"/><Relationship Id="rId167" Type="http://schemas.openxmlformats.org/officeDocument/2006/relationships/hyperlink" Target="https://drive.google.com/file/d/1MY5HiE7HhkRiZhY3ahC0SfsTpN5-NDia/view?usp=drivesdk" TargetMode="External"/><Relationship Id="rId166" Type="http://schemas.openxmlformats.org/officeDocument/2006/relationships/hyperlink" Target="https://drive.google.com/file/d/1tQwCy45KZZNZFssmC9tY-LXcsFkdWo3l/view?usp=drivesdk" TargetMode="External"/><Relationship Id="rId51" Type="http://schemas.openxmlformats.org/officeDocument/2006/relationships/hyperlink" Target="https://drive.google.com/file/d/1IGEuALONahGVH0c1U3NcUlqaWWAG45hz/view?usp=drivesdk" TargetMode="External"/><Relationship Id="rId50" Type="http://schemas.openxmlformats.org/officeDocument/2006/relationships/hyperlink" Target="https://drive.google.com/file/d/1D6cGtBUGxTuseuk-D-JofaGG8rx_xZc_/view?usp=drivesdk" TargetMode="External"/><Relationship Id="rId53" Type="http://schemas.openxmlformats.org/officeDocument/2006/relationships/hyperlink" Target="https://drive.google.com/file/d/1Jaj4zYcksBWrvnitVfDsqPLAu4K6NHAF/view?usp=drivesdk" TargetMode="External"/><Relationship Id="rId52" Type="http://schemas.openxmlformats.org/officeDocument/2006/relationships/hyperlink" Target="https://drive.google.com/file/d/19WkiDc6BK1UMpXw2biKg24AQzJzvDu0o/view?usp=drivesdk" TargetMode="External"/><Relationship Id="rId55" Type="http://schemas.openxmlformats.org/officeDocument/2006/relationships/hyperlink" Target="https://drive.google.com/file/d/1BfwYHEd_Usn40hXTHUZRh2OaS1qUM1hW/view?usp=drivesdk" TargetMode="External"/><Relationship Id="rId161" Type="http://schemas.openxmlformats.org/officeDocument/2006/relationships/hyperlink" Target="https://drive.google.com/file/d/1h6_4Y12w61tPBn62sWuKuxcOHb59nvKI/view?usp=drivesdk" TargetMode="External"/><Relationship Id="rId54" Type="http://schemas.openxmlformats.org/officeDocument/2006/relationships/hyperlink" Target="https://drive.google.com/file/d/1uje94X52Yx-odaMedlEG8LmBQdDzjJ7P/view?usp=drivesdk" TargetMode="External"/><Relationship Id="rId160" Type="http://schemas.openxmlformats.org/officeDocument/2006/relationships/hyperlink" Target="https://drive.google.com/file/d/1r5vfWTzfkAyfqANMl57DvavCamIj77Pv/view?usp=drivesdk" TargetMode="External"/><Relationship Id="rId57" Type="http://schemas.openxmlformats.org/officeDocument/2006/relationships/hyperlink" Target="https://drive.google.com/file/d/1BIVXw6CJHKvYpHCefCQK2IIXAEo-PPVY/view?usp=drivesdk" TargetMode="External"/><Relationship Id="rId56" Type="http://schemas.openxmlformats.org/officeDocument/2006/relationships/hyperlink" Target="https://drive.google.com/file/d/1Rbi4EQzjAqL7Rz8V_U_LgH8ano8XWisv/view?usp=drivesdk" TargetMode="External"/><Relationship Id="rId159" Type="http://schemas.openxmlformats.org/officeDocument/2006/relationships/hyperlink" Target="https://drive.google.com/file/d/1mpkjsEZMaNADcKgB_SleoQe_GhrgFEhQ/view?usp=drivesdk" TargetMode="External"/><Relationship Id="rId59" Type="http://schemas.openxmlformats.org/officeDocument/2006/relationships/hyperlink" Target="https://drive.google.com/file/d/1CJunDDe9U_rGj7Adhn95379EpXwKnU-v/view?usp=drivesdk" TargetMode="External"/><Relationship Id="rId154" Type="http://schemas.openxmlformats.org/officeDocument/2006/relationships/hyperlink" Target="https://drive.google.com/file/d/1dUjMX9pseTNkvTNn641Rc9yvTxHcVLT1/view?usp=drivesdk" TargetMode="External"/><Relationship Id="rId275" Type="http://schemas.openxmlformats.org/officeDocument/2006/relationships/hyperlink" Target="https://drive.google.com/file/d/1EqxxBh7YovSZrPcMhf6s9c8iO_I-sZSb/view?usp=drivesdk" TargetMode="External"/><Relationship Id="rId58" Type="http://schemas.openxmlformats.org/officeDocument/2006/relationships/hyperlink" Target="https://drive.google.com/file/d/12ZsWQV_Qjz2UEe9FSHvnuFK9NPo_KblW/view?usp=drivesdk" TargetMode="External"/><Relationship Id="rId153" Type="http://schemas.openxmlformats.org/officeDocument/2006/relationships/hyperlink" Target="https://drive.google.com/file/d/1gs5CDxO_Nec9nT_XZbbKgWvrqbxqKGBu/view?usp=drivesdk" TargetMode="External"/><Relationship Id="rId274" Type="http://schemas.openxmlformats.org/officeDocument/2006/relationships/hyperlink" Target="https://drive.google.com/file/d/1rOdhBtFIKjdKK-jpIzM7bzs_kY09WONQ/view?usp=drivesdk" TargetMode="External"/><Relationship Id="rId152" Type="http://schemas.openxmlformats.org/officeDocument/2006/relationships/hyperlink" Target="https://drive.google.com/file/d/12jrW6YXV5dVDbQRHx2CUT8eqLKjajb9v/view?usp=drivesdk" TargetMode="External"/><Relationship Id="rId273" Type="http://schemas.openxmlformats.org/officeDocument/2006/relationships/hyperlink" Target="https://drive.google.com/file/d/1KpUZepn6vUTSTe03oWVhSPsKTbCduDrM/view?usp=drivesdk" TargetMode="External"/><Relationship Id="rId151" Type="http://schemas.openxmlformats.org/officeDocument/2006/relationships/hyperlink" Target="https://drive.google.com/file/d/1JfTtnq1fesiab7nElbc5HcGkwlNkGuPK/view?usp=drivesdk" TargetMode="External"/><Relationship Id="rId272" Type="http://schemas.openxmlformats.org/officeDocument/2006/relationships/hyperlink" Target="https://drive.google.com/file/d/101gWOnd-tJuohgVkifAYLXkaERjtdvTN/view?usp=drivesdk" TargetMode="External"/><Relationship Id="rId158" Type="http://schemas.openxmlformats.org/officeDocument/2006/relationships/hyperlink" Target="https://drive.google.com/file/d/1V5dkR_-05le7i3ZJA1_aPFCMIoe85lSQ/view?usp=drivesdk" TargetMode="External"/><Relationship Id="rId157" Type="http://schemas.openxmlformats.org/officeDocument/2006/relationships/hyperlink" Target="https://drive.google.com/file/d/1GbHr2BmHop6x0w7HXj5H5BX375YYah5P/view?usp=drivesdk" TargetMode="External"/><Relationship Id="rId156" Type="http://schemas.openxmlformats.org/officeDocument/2006/relationships/hyperlink" Target="https://drive.google.com/file/d/1zoJ1DEbTQgGNbhN2105rclLQatqNLxoe/view?usp=drivesdk" TargetMode="External"/><Relationship Id="rId155" Type="http://schemas.openxmlformats.org/officeDocument/2006/relationships/hyperlink" Target="https://drive.google.com/file/d/1hk5ZLeyhxyN6TmVxTv87y2FInYDwhb1Q/view?usp=drivesdk" TargetMode="External"/><Relationship Id="rId276" Type="http://schemas.openxmlformats.org/officeDocument/2006/relationships/drawing" Target="../drawings/drawing1.xml"/><Relationship Id="rId107" Type="http://schemas.openxmlformats.org/officeDocument/2006/relationships/hyperlink" Target="https://drive.google.com/file/d/1DrRmVTMNxMJUQRFHdsLlOyM-aL9BvVOE/view?usp=drivesdk" TargetMode="External"/><Relationship Id="rId228" Type="http://schemas.openxmlformats.org/officeDocument/2006/relationships/hyperlink" Target="https://drive.google.com/file/d/1j5p41QVwIS_St_QckFi6_yXbZQ4OxCJn/view?usp=drivesdk" TargetMode="External"/><Relationship Id="rId106" Type="http://schemas.openxmlformats.org/officeDocument/2006/relationships/hyperlink" Target="https://drive.google.com/file/d/16olL2FLbJrHb1-poJQQ2ap9XnTJCA6r6/view?usp=drivesdk" TargetMode="External"/><Relationship Id="rId227" Type="http://schemas.openxmlformats.org/officeDocument/2006/relationships/hyperlink" Target="https://drive.google.com/file/d/1jTrLNdtZaBiTUte7BNkdL6QYIgtKztHB/view?usp=drivesdk" TargetMode="External"/><Relationship Id="rId105" Type="http://schemas.openxmlformats.org/officeDocument/2006/relationships/hyperlink" Target="https://drive.google.com/file/d/1lg3pmESfne-_lSJ2WoVCXC_x3pEMmzQ2/view?usp=drivesdk" TargetMode="External"/><Relationship Id="rId226" Type="http://schemas.openxmlformats.org/officeDocument/2006/relationships/hyperlink" Target="https://drive.google.com/file/d/1gSSJPSSVd1FflrfbLVSXj0Yz3QfjEV2T/view?usp=drivesdk" TargetMode="External"/><Relationship Id="rId104" Type="http://schemas.openxmlformats.org/officeDocument/2006/relationships/hyperlink" Target="https://drive.google.com/file/d/1awk_XkuYYuK7YmoePAeTT18wHJFh8t3s/view?usp=drivesdk" TargetMode="External"/><Relationship Id="rId225" Type="http://schemas.openxmlformats.org/officeDocument/2006/relationships/hyperlink" Target="https://drive.google.com/file/d/1EoUkr800i4oRsXrzUpChzFQNfGq8OcfX/view?usp=drivesdk" TargetMode="External"/><Relationship Id="rId109" Type="http://schemas.openxmlformats.org/officeDocument/2006/relationships/hyperlink" Target="https://drive.google.com/file/d/1nPSyc3RX-TwtSVj9IsJZvEh1b7YcKFJD/view?usp=drivesdk" TargetMode="External"/><Relationship Id="rId108" Type="http://schemas.openxmlformats.org/officeDocument/2006/relationships/hyperlink" Target="https://drive.google.com/file/d/1q-Ix_FUnEr1MqZX7PSynNIBGTBWNRqnB/view?usp=drivesdk" TargetMode="External"/><Relationship Id="rId229" Type="http://schemas.openxmlformats.org/officeDocument/2006/relationships/hyperlink" Target="https://drive.google.com/file/d/1ThO5AvLOjh1jlvF0DYx03ebe-kkJ6G8z/view?usp=drivesdk" TargetMode="External"/><Relationship Id="rId220" Type="http://schemas.openxmlformats.org/officeDocument/2006/relationships/hyperlink" Target="https://drive.google.com/file/d/1i8LjVQ3JEEzEdkoVpZ6MifFc8F1sZuDd/view?usp=drivesdk" TargetMode="External"/><Relationship Id="rId103" Type="http://schemas.openxmlformats.org/officeDocument/2006/relationships/hyperlink" Target="https://drive.google.com/file/d/1ky9f5pNG9SAlHY5QpobG0NPVgQRTvggw/view?usp=drivesdk" TargetMode="External"/><Relationship Id="rId224" Type="http://schemas.openxmlformats.org/officeDocument/2006/relationships/hyperlink" Target="https://drive.google.com/file/d/1WpsbIdGKx14v4hrkNh7QPwyC9RVZk75A/view?usp=drivesdk" TargetMode="External"/><Relationship Id="rId102" Type="http://schemas.openxmlformats.org/officeDocument/2006/relationships/hyperlink" Target="https://drive.google.com/file/d/1sLZt9TuQsIUaRdjUWDkJJRTAb1ChHn5w/view?usp=drivesdk" TargetMode="External"/><Relationship Id="rId223" Type="http://schemas.openxmlformats.org/officeDocument/2006/relationships/hyperlink" Target="https://drive.google.com/file/d/1h1KDMfNABvVfLdRnr7iUeR7VIoInfrea/view?usp=drivesdk" TargetMode="External"/><Relationship Id="rId101" Type="http://schemas.openxmlformats.org/officeDocument/2006/relationships/hyperlink" Target="https://drive.google.com/file/d/1R59N82lT4Xe8LCjrn4TfpjWdmhMS2h_Y/view?usp=drivesdk" TargetMode="External"/><Relationship Id="rId222" Type="http://schemas.openxmlformats.org/officeDocument/2006/relationships/hyperlink" Target="https://drive.google.com/file/d/1yNcUQiuTbys21GhMRT6I0fMnVFbP-FKt/view?usp=drivesdk" TargetMode="External"/><Relationship Id="rId100" Type="http://schemas.openxmlformats.org/officeDocument/2006/relationships/hyperlink" Target="https://drive.google.com/file/d/152lFWwcRAuNFN6gckWJ0uxDdmEGomp0B/view?usp=drivesdk" TargetMode="External"/><Relationship Id="rId221" Type="http://schemas.openxmlformats.org/officeDocument/2006/relationships/hyperlink" Target="https://drive.google.com/file/d/1UNuoLi1q795GtZLBUYKC7xi7cY78WZgZ/view?usp=drivesdk" TargetMode="External"/><Relationship Id="rId217" Type="http://schemas.openxmlformats.org/officeDocument/2006/relationships/hyperlink" Target="https://drive.google.com/file/d/1E7Pf_rYu-wRUP2tjIBo0U8vcl-0PRB53/view?usp=drivesdk" TargetMode="External"/><Relationship Id="rId216" Type="http://schemas.openxmlformats.org/officeDocument/2006/relationships/hyperlink" Target="https://drive.google.com/file/d/1WWOpQ09O7R6ZYAO0AVr9R2h8QpwZPq6n/view?usp=drivesdk" TargetMode="External"/><Relationship Id="rId215" Type="http://schemas.openxmlformats.org/officeDocument/2006/relationships/hyperlink" Target="https://drive.google.com/file/d/1wigSj-yx-gOCT5ywwOhdY6jS9XCuEyPi/view?usp=drivesdk" TargetMode="External"/><Relationship Id="rId214" Type="http://schemas.openxmlformats.org/officeDocument/2006/relationships/hyperlink" Target="https://drive.google.com/file/d/1TBJErXrBoK2Stkm3xflU7PC2BV6xGJdC/view?usp=drivesdk" TargetMode="External"/><Relationship Id="rId219" Type="http://schemas.openxmlformats.org/officeDocument/2006/relationships/hyperlink" Target="https://drive.google.com/file/d/1VGjJOf2bwfjMnd2L6HzjKgghHfdeVxyK/view?usp=drivesdk" TargetMode="External"/><Relationship Id="rId218" Type="http://schemas.openxmlformats.org/officeDocument/2006/relationships/hyperlink" Target="https://drive.google.com/file/d/1kdb3C2yT9Oi2DRj5zYHpzNsU8bm740Rf/view?usp=drivesdk" TargetMode="External"/><Relationship Id="rId213" Type="http://schemas.openxmlformats.org/officeDocument/2006/relationships/hyperlink" Target="https://drive.google.com/file/d/1X72HWdCfw1pPOkYsZvgIDhmhLIPh_7sp/view?usp=drivesdk" TargetMode="External"/><Relationship Id="rId212" Type="http://schemas.openxmlformats.org/officeDocument/2006/relationships/hyperlink" Target="https://drive.google.com/file/d/1_b9s4mQniru6RcCkaBYv2HDsziwxHuSj/view?usp=drivesdk" TargetMode="External"/><Relationship Id="rId211" Type="http://schemas.openxmlformats.org/officeDocument/2006/relationships/hyperlink" Target="https://drive.google.com/file/d/1IJ7vZJI3mdFojUNk6-2QbEK54HaSfGBn/view?usp=drivesdk" TargetMode="External"/><Relationship Id="rId210" Type="http://schemas.openxmlformats.org/officeDocument/2006/relationships/hyperlink" Target="https://drive.google.com/file/d/1R4WGvOeRdYuTmYsFbkgeZ2P8RkFSuGqi/view?usp=drivesdk" TargetMode="External"/><Relationship Id="rId129" Type="http://schemas.openxmlformats.org/officeDocument/2006/relationships/hyperlink" Target="https://drive.google.com/file/d/1xHr-Lwkwwa3dh0q7_Q_D_3jVXmUD9ZMy/view?usp=drivesdk" TargetMode="External"/><Relationship Id="rId128" Type="http://schemas.openxmlformats.org/officeDocument/2006/relationships/hyperlink" Target="https://drive.google.com/file/d/1yi620IwUq3JdPcj0FBA8-dG4hUTqPD-y/view?usp=drivesdk" TargetMode="External"/><Relationship Id="rId249" Type="http://schemas.openxmlformats.org/officeDocument/2006/relationships/hyperlink" Target="https://drive.google.com/file/d/17wKH1BXuAYZ7CM0cnY_Euvrf1ECJ33K8/view?usp=drivesdk" TargetMode="External"/><Relationship Id="rId127" Type="http://schemas.openxmlformats.org/officeDocument/2006/relationships/hyperlink" Target="https://drive.google.com/file/d/1VrWZ36cIall9gtQ2Ukde_UgT7QlA7MFt/view?usp=drivesdk" TargetMode="External"/><Relationship Id="rId248" Type="http://schemas.openxmlformats.org/officeDocument/2006/relationships/hyperlink" Target="https://drive.google.com/file/d/1pIEa0epXg8kkToxdLDEsA0Dyc_c0Y3Pg/view?usp=drivesdk" TargetMode="External"/><Relationship Id="rId126" Type="http://schemas.openxmlformats.org/officeDocument/2006/relationships/hyperlink" Target="https://drive.google.com/file/d/1cR6CCOu0Ug3rMBlSS7GSRpCsDs6AMuLa/view?usp=drivesdk" TargetMode="External"/><Relationship Id="rId247" Type="http://schemas.openxmlformats.org/officeDocument/2006/relationships/hyperlink" Target="https://drive.google.com/file/d/1IzNv8FFI23qbUszv6XAGOBiP9Q9IQaDk/view?usp=drivesdk" TargetMode="External"/><Relationship Id="rId121" Type="http://schemas.openxmlformats.org/officeDocument/2006/relationships/hyperlink" Target="https://drive.google.com/file/d/1E22k-8RLMeKSVPd5JVk--iSkEI0Z7yG8/view?usp=drivesdk" TargetMode="External"/><Relationship Id="rId242" Type="http://schemas.openxmlformats.org/officeDocument/2006/relationships/hyperlink" Target="https://drive.google.com/file/d/1Neag0VluISpS-QobtycibnaEnCMRnp8f/view?usp=drivesdk" TargetMode="External"/><Relationship Id="rId120" Type="http://schemas.openxmlformats.org/officeDocument/2006/relationships/hyperlink" Target="https://drive.google.com/file/d/1zhT8Uswh7_dZLnS6J5C9emrj7kY6Sb0n/view?usp=drivesdk" TargetMode="External"/><Relationship Id="rId241" Type="http://schemas.openxmlformats.org/officeDocument/2006/relationships/hyperlink" Target="https://drive.google.com/file/d/188ksb3Epkq2Gd3YjSKp8JydG_pKU7SeW/view?usp=drivesdk" TargetMode="External"/><Relationship Id="rId240" Type="http://schemas.openxmlformats.org/officeDocument/2006/relationships/hyperlink" Target="https://drive.google.com/file/d/1_Hkxs2yIa5nPgfkhJAA1B9cy7pvk5h7h/view?usp=drivesdk" TargetMode="External"/><Relationship Id="rId125" Type="http://schemas.openxmlformats.org/officeDocument/2006/relationships/hyperlink" Target="https://drive.google.com/file/d/1iVfh3CyhoD7rd1zrjjk5MUy36cwwI0zi/view?usp=drivesdk" TargetMode="External"/><Relationship Id="rId246" Type="http://schemas.openxmlformats.org/officeDocument/2006/relationships/hyperlink" Target="https://drive.google.com/file/d/1tdzxbvozefdgWNzn1dgoSzzNHKEH8uAi/view?usp=drivesdk" TargetMode="External"/><Relationship Id="rId124" Type="http://schemas.openxmlformats.org/officeDocument/2006/relationships/hyperlink" Target="https://drive.google.com/file/d/1ocUSp13XOGMhXpdQEeMX4iNtOPMyZ_tm/view?usp=drivesdk" TargetMode="External"/><Relationship Id="rId245" Type="http://schemas.openxmlformats.org/officeDocument/2006/relationships/hyperlink" Target="https://drive.google.com/file/d/1eudMNmX6H878giMfHTB_wE4okO-8B6tQ/view?usp=drivesdk" TargetMode="External"/><Relationship Id="rId123" Type="http://schemas.openxmlformats.org/officeDocument/2006/relationships/hyperlink" Target="https://drive.google.com/file/d/19dsHS3MM6xYkKOsKFllehqWb4uf-OAI9/view?usp=drivesdk" TargetMode="External"/><Relationship Id="rId244" Type="http://schemas.openxmlformats.org/officeDocument/2006/relationships/hyperlink" Target="https://drive.google.com/file/d/1zFx5lSGi6GWslEGivZhjIR9dmw8_I3ak/view?usp=drivesdk" TargetMode="External"/><Relationship Id="rId122" Type="http://schemas.openxmlformats.org/officeDocument/2006/relationships/hyperlink" Target="https://drive.google.com/file/d/1w5Z52GAqBhnsq9AuGq1vkAF9-OvU0qju/view?usp=drivesdk" TargetMode="External"/><Relationship Id="rId243" Type="http://schemas.openxmlformats.org/officeDocument/2006/relationships/hyperlink" Target="https://drive.google.com/file/d/1Aa3YnjA28wRL42ACUsITtcySX71Erszx/view?usp=drivesdk" TargetMode="External"/><Relationship Id="rId95" Type="http://schemas.openxmlformats.org/officeDocument/2006/relationships/hyperlink" Target="https://drive.google.com/file/d/1vK3_OlwRB7oRNuTp0SKFyDKPef-lYP36/view?usp=drivesdk" TargetMode="External"/><Relationship Id="rId94" Type="http://schemas.openxmlformats.org/officeDocument/2006/relationships/hyperlink" Target="https://drive.google.com/file/d/1OMdnSXKwMMLXb-IqArhQjQMLCV25_1hU/view?usp=drivesdk" TargetMode="External"/><Relationship Id="rId97" Type="http://schemas.openxmlformats.org/officeDocument/2006/relationships/hyperlink" Target="https://drive.google.com/file/d/12IwdEk7xA-LJaaIjPGh1Sz4rmHt4VN7s/view?usp=drivesdk" TargetMode="External"/><Relationship Id="rId96" Type="http://schemas.openxmlformats.org/officeDocument/2006/relationships/hyperlink" Target="https://drive.google.com/file/d/1Kep7E1uzbZl9uWSo0_-HO33cF2r4NdpL/view?usp=drivesdk" TargetMode="External"/><Relationship Id="rId99" Type="http://schemas.openxmlformats.org/officeDocument/2006/relationships/hyperlink" Target="https://drive.google.com/file/d/1UI4AGNiWheT7z_OlZ1SS5Z49I5CFXmck/view?usp=drivesdk" TargetMode="External"/><Relationship Id="rId98" Type="http://schemas.openxmlformats.org/officeDocument/2006/relationships/hyperlink" Target="https://drive.google.com/file/d/11in1sttbdIZ7KI2VPGBBtKrFs2expeUo/view?usp=drivesdk" TargetMode="External"/><Relationship Id="rId91" Type="http://schemas.openxmlformats.org/officeDocument/2006/relationships/hyperlink" Target="https://drive.google.com/file/d/1ipVzFECjqFO4EMK5U1LqqcsFQL0uEpa7/view?usp=drivesdk" TargetMode="External"/><Relationship Id="rId90" Type="http://schemas.openxmlformats.org/officeDocument/2006/relationships/hyperlink" Target="https://drive.google.com/file/d/1e5v7wvm7pKncyi1GlXDX99lQPBY6GJKB/view?usp=drivesdk" TargetMode="External"/><Relationship Id="rId93" Type="http://schemas.openxmlformats.org/officeDocument/2006/relationships/hyperlink" Target="https://drive.google.com/file/d/1F4QKgB_r9JOaCVrNMlAYzd9_XbfM1prf/view?usp=drivesdk" TargetMode="External"/><Relationship Id="rId92" Type="http://schemas.openxmlformats.org/officeDocument/2006/relationships/hyperlink" Target="https://drive.google.com/file/d/1K-2EbQus9NG9nKuRg_ZEYUl4bPBuSdjS/view?usp=drivesdk" TargetMode="External"/><Relationship Id="rId118" Type="http://schemas.openxmlformats.org/officeDocument/2006/relationships/hyperlink" Target="https://drive.google.com/file/d/1rl-wSw7Y0JmaNg30hWo5pKKssjeWwkdm/view?usp=drivesdk" TargetMode="External"/><Relationship Id="rId239" Type="http://schemas.openxmlformats.org/officeDocument/2006/relationships/hyperlink" Target="https://drive.google.com/file/d/118vcW3qHsh0hF3lPonZK22DNoJUSB4Ma/view?usp=drivesdk" TargetMode="External"/><Relationship Id="rId117" Type="http://schemas.openxmlformats.org/officeDocument/2006/relationships/hyperlink" Target="https://drive.google.com/file/d/1jdghAhkJfhxo_8aB9GNPeq9OePH4oC4c/view?usp=drivesdk" TargetMode="External"/><Relationship Id="rId238" Type="http://schemas.openxmlformats.org/officeDocument/2006/relationships/hyperlink" Target="https://drive.google.com/file/d/1bUBuGu_Z6qEDtJSiq1PbXbEZeA38jh3K/view?usp=drivesdk" TargetMode="External"/><Relationship Id="rId116" Type="http://schemas.openxmlformats.org/officeDocument/2006/relationships/hyperlink" Target="https://drive.google.com/file/d/1gxla-xiiRApXCDJo_PyVhH_kuvDI_-zk/view?usp=drivesdk" TargetMode="External"/><Relationship Id="rId237" Type="http://schemas.openxmlformats.org/officeDocument/2006/relationships/hyperlink" Target="https://drive.google.com/file/d/1qdP-b8KLjXr0unP6_A78eJV0qsMaWCyw/view?usp=drivesdk" TargetMode="External"/><Relationship Id="rId115" Type="http://schemas.openxmlformats.org/officeDocument/2006/relationships/hyperlink" Target="https://drive.google.com/file/d/1WW4ySgAQgEO2sDugV7luysU9pWKq4wwf/view?usp=drivesdk" TargetMode="External"/><Relationship Id="rId236" Type="http://schemas.openxmlformats.org/officeDocument/2006/relationships/hyperlink" Target="https://drive.google.com/file/d/1-9Z7DKzwRchM5b5HLHEtqro8rp1hxQUt/view?usp=drivesdk" TargetMode="External"/><Relationship Id="rId119" Type="http://schemas.openxmlformats.org/officeDocument/2006/relationships/hyperlink" Target="https://drive.google.com/file/d/1LyOE0IB_KHZe5YtxnGkRzfiz6QEQp-oX/view?usp=drivesdk" TargetMode="External"/><Relationship Id="rId110" Type="http://schemas.openxmlformats.org/officeDocument/2006/relationships/hyperlink" Target="https://drive.google.com/file/d/1SBtGXUEg2p0wDlSF8hoilqZr536yQEAB/view?usp=drivesdk" TargetMode="External"/><Relationship Id="rId231" Type="http://schemas.openxmlformats.org/officeDocument/2006/relationships/hyperlink" Target="https://drive.google.com/file/d/1u3ki0jZ4Qz6ZvKMClWc8zF7K7dGVZbuz/view?usp=drivesdk" TargetMode="External"/><Relationship Id="rId230" Type="http://schemas.openxmlformats.org/officeDocument/2006/relationships/hyperlink" Target="https://drive.google.com/file/d/1g2NiFOhhiQjfoTqZUVhNLb6PZNoE1OXn/view?usp=drivesdk" TargetMode="External"/><Relationship Id="rId114" Type="http://schemas.openxmlformats.org/officeDocument/2006/relationships/hyperlink" Target="https://drive.google.com/file/d/16HCB6D6kCbqDDjcwr_3WDS-lAymOYrbu/view?usp=drivesdk" TargetMode="External"/><Relationship Id="rId235" Type="http://schemas.openxmlformats.org/officeDocument/2006/relationships/hyperlink" Target="https://drive.google.com/file/d/1FiPieVlbv8uaev_BGGLGcTIHUyTHnkEO/view?usp=drivesdk" TargetMode="External"/><Relationship Id="rId113" Type="http://schemas.openxmlformats.org/officeDocument/2006/relationships/hyperlink" Target="https://drive.google.com/file/d/1ESAfFw8nNmSgPWj7i5eytFezpYOBbzsg/view?usp=drivesdk" TargetMode="External"/><Relationship Id="rId234" Type="http://schemas.openxmlformats.org/officeDocument/2006/relationships/hyperlink" Target="https://drive.google.com/file/d/1smWbfBMIEYMVvLJH6KSXwVQnBBXPD35g/view?usp=drivesdk" TargetMode="External"/><Relationship Id="rId112" Type="http://schemas.openxmlformats.org/officeDocument/2006/relationships/hyperlink" Target="https://drive.google.com/file/d/1W6L_8fq-x0AoCFGbSB2dUUS2Mgb0X_wA/view?usp=drivesdk" TargetMode="External"/><Relationship Id="rId233" Type="http://schemas.openxmlformats.org/officeDocument/2006/relationships/hyperlink" Target="https://drive.google.com/file/d/1HCsIiTsTBpnE0m2CngT-jF5up3pWLNi6/view?usp=drivesdk" TargetMode="External"/><Relationship Id="rId111" Type="http://schemas.openxmlformats.org/officeDocument/2006/relationships/hyperlink" Target="https://drive.google.com/file/d/1_--SldPOWP2_aAO-6lWhMuZSgibl63PW/view?usp=drivesdk" TargetMode="External"/><Relationship Id="rId232" Type="http://schemas.openxmlformats.org/officeDocument/2006/relationships/hyperlink" Target="https://drive.google.com/file/d/1IRizeOKD3iVOdg4jOW53fWZcFhIhabQQ/view?usp=drivesdk" TargetMode="External"/><Relationship Id="rId206" Type="http://schemas.openxmlformats.org/officeDocument/2006/relationships/hyperlink" Target="https://drive.google.com/file/d/1AV1UWrinyxxxjuW28fCx9iasRhR_-gNu/view?usp=drivesdk" TargetMode="External"/><Relationship Id="rId205" Type="http://schemas.openxmlformats.org/officeDocument/2006/relationships/hyperlink" Target="https://drive.google.com/file/d/1IPJ0huvsKa9bm4Rn8Lq_eCYm58ixrRfi/view?usp=drivesdk" TargetMode="External"/><Relationship Id="rId204" Type="http://schemas.openxmlformats.org/officeDocument/2006/relationships/hyperlink" Target="https://drive.google.com/file/d/1-5ZbvcbP0TxyBMwHs0w3p2ZBjl9kdQtC/view?usp=drivesdk" TargetMode="External"/><Relationship Id="rId203" Type="http://schemas.openxmlformats.org/officeDocument/2006/relationships/hyperlink" Target="https://drive.google.com/file/d/1rfFRbXQKCGB8S3bjxf2qKwB9h7VKv1tZ/view?usp=drivesdk" TargetMode="External"/><Relationship Id="rId209" Type="http://schemas.openxmlformats.org/officeDocument/2006/relationships/hyperlink" Target="https://drive.google.com/file/d/1cfDkS6JsLos5rioRgRePizQD1VUBJOld/view?usp=drivesdk" TargetMode="External"/><Relationship Id="rId208" Type="http://schemas.openxmlformats.org/officeDocument/2006/relationships/hyperlink" Target="https://drive.google.com/file/d/19zFs-ZaPmRPcIssiddMgSVt9eajQwW23/view?usp=drivesdk" TargetMode="External"/><Relationship Id="rId207" Type="http://schemas.openxmlformats.org/officeDocument/2006/relationships/hyperlink" Target="https://drive.google.com/file/d/1h1YAthUkJ13sCnsN8a4Xy_41bt_9HMLC/view?usp=drivesdk" TargetMode="External"/><Relationship Id="rId202" Type="http://schemas.openxmlformats.org/officeDocument/2006/relationships/hyperlink" Target="https://drive.google.com/file/d/1UnrSUw11xft7MceOOxCJp87buxYruL0j/view?usp=drivesdk" TargetMode="External"/><Relationship Id="rId201" Type="http://schemas.openxmlformats.org/officeDocument/2006/relationships/hyperlink" Target="https://drive.google.com/file/d/1K6T09CcOASf_9utwvkmemkFottKMqoMm/view?usp=drivesdk" TargetMode="External"/><Relationship Id="rId200" Type="http://schemas.openxmlformats.org/officeDocument/2006/relationships/hyperlink" Target="https://drive.google.com/file/d/1bDasc2BAQKHOEZQSXN7nC9Dc2bYUZJq9/view?usp=drivesd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7buBw8ZMxWPfuoe2fhw-h8vkkrrbKKUA/view?usp=drivesdk" TargetMode="External"/><Relationship Id="rId22" Type="http://schemas.openxmlformats.org/officeDocument/2006/relationships/hyperlink" Target="https://drive.google.com/file/d/1Mkf6LJGl2QvZQY1P9Jd6w3O6xlh7xRnV/view?usp=drivesdk" TargetMode="External"/><Relationship Id="rId21" Type="http://schemas.openxmlformats.org/officeDocument/2006/relationships/hyperlink" Target="https://drive.google.com/file/d/1L1t_sE6iIhJ4l8Nl_K9j5vZz3qMKHZvw/view?usp=drivesdk" TargetMode="External"/><Relationship Id="rId24" Type="http://schemas.openxmlformats.org/officeDocument/2006/relationships/hyperlink" Target="https://drive.google.com/file/d/1TguGhJYtACdd4IebkKvl2d78G2pFWEbK/view?usp=drivesdk" TargetMode="External"/><Relationship Id="rId23" Type="http://schemas.openxmlformats.org/officeDocument/2006/relationships/hyperlink" Target="https://drive.google.com/file/d/1SKyaYnYjtJHWEDAqZx59BcoHWJPOT4zG/view?usp=drivesdk" TargetMode="External"/><Relationship Id="rId26" Type="http://schemas.openxmlformats.org/officeDocument/2006/relationships/hyperlink" Target="https://drive.google.com/file/d/1VRda3QoaZynuOw2yT552ymE2hO41Jfxf/view?usp=drivesdk" TargetMode="External"/><Relationship Id="rId25" Type="http://schemas.openxmlformats.org/officeDocument/2006/relationships/hyperlink" Target="https://drive.google.com/file/d/14cDtZ_81WN6xiWidSUXnmliALhn501WH/view?usp=drivesdk" TargetMode="External"/><Relationship Id="rId28" Type="http://schemas.openxmlformats.org/officeDocument/2006/relationships/hyperlink" Target="https://drive.google.com/file/d/1ggv4z6_Sl68U3jZ7HZoNqyqU7-ZmNXio/view?usp=drivesdk" TargetMode="External"/><Relationship Id="rId27" Type="http://schemas.openxmlformats.org/officeDocument/2006/relationships/hyperlink" Target="https://drive.google.com/file/d/19RQ8E8OYRZko11gCzaszZ1w_u3nIQYIy/view?usp=drivesdk" TargetMode="External"/><Relationship Id="rId29" Type="http://schemas.openxmlformats.org/officeDocument/2006/relationships/drawing" Target="../drawings/drawing2.xml"/><Relationship Id="rId11" Type="http://schemas.openxmlformats.org/officeDocument/2006/relationships/hyperlink" Target="https://drive.google.com/file/d/1IbmDVcHv9AFDigFKjcfHw14RzC3Tcra6/view?usp=drivesdk" TargetMode="External"/><Relationship Id="rId10" Type="http://schemas.openxmlformats.org/officeDocument/2006/relationships/hyperlink" Target="https://drive.google.com/file/d/1idTVF8LaLoblBV3-_anBWyIBRqFsdAJd/view?usp=drivesdk" TargetMode="External"/><Relationship Id="rId13" Type="http://schemas.openxmlformats.org/officeDocument/2006/relationships/hyperlink" Target="http://flt.lt" TargetMode="External"/><Relationship Id="rId12" Type="http://schemas.openxmlformats.org/officeDocument/2006/relationships/hyperlink" Target="https://drive.google.com/file/d/1NLCETsNgnR8Krsu_U2iE326IhVaqj1Dw/view?usp=drivesdk" TargetMode="External"/><Relationship Id="rId15" Type="http://schemas.openxmlformats.org/officeDocument/2006/relationships/hyperlink" Target="https://drive.google.com/file/d/1AUmkDdTJIUskv0wE9NI4GL3c96J1Pi53/view?usp=drivesdk" TargetMode="External"/><Relationship Id="rId14" Type="http://schemas.openxmlformats.org/officeDocument/2006/relationships/hyperlink" Target="https://drive.google.com/file/d/1Q-NUoGE5pda2BU2sV1mTZSNSOMfjcEHD/view?usp=drivesdk" TargetMode="External"/><Relationship Id="rId17" Type="http://schemas.openxmlformats.org/officeDocument/2006/relationships/hyperlink" Target="https://drive.google.com/file/d/1nA4IaOiPkuKBewWpgueURUXjqv9e0hMQ/view?usp=drivesdk" TargetMode="External"/><Relationship Id="rId16" Type="http://schemas.openxmlformats.org/officeDocument/2006/relationships/hyperlink" Target="https://drive.google.com/file/d/1kZRwOUMpvvhifWtonD_x5MYxkcvmMkFh/view?usp=drivesdk" TargetMode="External"/><Relationship Id="rId19" Type="http://schemas.openxmlformats.org/officeDocument/2006/relationships/hyperlink" Target="https://drive.google.com/file/d/1tv-8n4KyuhZpuf8f2sj44AbnamSn8yxm/view?usp=drivesdk" TargetMode="External"/><Relationship Id="rId18" Type="http://schemas.openxmlformats.org/officeDocument/2006/relationships/hyperlink" Target="https://drive.google.com/file/d/1qKytQPqcxPiE8pGPJT7WuwVraF4zw-Gb/view?usp=drivesdk" TargetMode="External"/><Relationship Id="rId1" Type="http://schemas.openxmlformats.org/officeDocument/2006/relationships/hyperlink" Target="https://drive.google.com/file/d/1zPPkwGOYbgr53yUwiFdN1BUQi_5Vq1gP/view?usp=drivesdk" TargetMode="External"/><Relationship Id="rId2" Type="http://schemas.openxmlformats.org/officeDocument/2006/relationships/hyperlink" Target="https://drive.google.com/file/d/1S3CLlWHF1W2CKAhcx_aTNcsmp2bIg3Cz/view?usp=drivesdk" TargetMode="External"/><Relationship Id="rId3" Type="http://schemas.openxmlformats.org/officeDocument/2006/relationships/hyperlink" Target="https://drive.google.com/file/d/14QY0CtmnKGbvlyefILBbjZ0LfhpY0uib/view?usp=drivesdk" TargetMode="External"/><Relationship Id="rId4" Type="http://schemas.openxmlformats.org/officeDocument/2006/relationships/hyperlink" Target="https://drive.google.com/file/d/1xQe1yWUD-bFDnPCITzIy_Cyp7KB42JG9/view?usp=drivesdk" TargetMode="External"/><Relationship Id="rId9" Type="http://schemas.openxmlformats.org/officeDocument/2006/relationships/hyperlink" Target="https://drive.google.com/file/d/1gutKKSt9cx9kJ71joBV4yXOWsUNCtQ76/view?usp=drivesdk" TargetMode="External"/><Relationship Id="rId5" Type="http://schemas.openxmlformats.org/officeDocument/2006/relationships/hyperlink" Target="https://drive.google.com/file/d/1PnhvQxs118ehpP1G0_bhB_DlMWv_uBru/view?usp=drivesdk" TargetMode="External"/><Relationship Id="rId6" Type="http://schemas.openxmlformats.org/officeDocument/2006/relationships/hyperlink" Target="https://drive.google.com/file/d/11JG5ke8DEkUEWqAD2yAVAS4juVTv42-6/view?usp=drivesdk" TargetMode="External"/><Relationship Id="rId7" Type="http://schemas.openxmlformats.org/officeDocument/2006/relationships/hyperlink" Target="https://drive.google.com/file/d/1hzTJzc6v2Y6NIk-8LEgtLFbmmntrRqEV/view?usp=drivesdk" TargetMode="External"/><Relationship Id="rId8" Type="http://schemas.openxmlformats.org/officeDocument/2006/relationships/hyperlink" Target="https://drive.google.com/file/d/1-42ohfZpUglZ5a6Clqx5BGpGLtDMOme0/view?usp=drivesd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r2j-9m0pB_OxKOl7LwdUqie7mwr8SwA/view?usp=drivesdk" TargetMode="External"/><Relationship Id="rId42" Type="http://schemas.openxmlformats.org/officeDocument/2006/relationships/hyperlink" Target="https://drive.google.com/file/d/1kYKAzpB6XQqfC4R9kCz4O0eNnUzOjhXx/view?usp=drivesdk" TargetMode="External"/><Relationship Id="rId41" Type="http://schemas.openxmlformats.org/officeDocument/2006/relationships/hyperlink" Target="https://drive.google.com/file/d/1-uFy8xiWxRMhBeTfK938l_csSRjDSX-k/view?usp=drivesdk" TargetMode="External"/><Relationship Id="rId43" Type="http://schemas.openxmlformats.org/officeDocument/2006/relationships/drawing" Target="../drawings/drawing3.xml"/><Relationship Id="rId31" Type="http://schemas.openxmlformats.org/officeDocument/2006/relationships/hyperlink" Target="https://drive.google.com/file/d/1FvS4tx17RVsndBuFwKgkQFRDKs09x5Ze/view?usp=drivesdk" TargetMode="External"/><Relationship Id="rId30" Type="http://schemas.openxmlformats.org/officeDocument/2006/relationships/hyperlink" Target="https://drive.google.com/file/d/1G7UTclihjulhwTNp3SYQgG_f0_mAlBgU/view?usp=drivesdk" TargetMode="External"/><Relationship Id="rId33" Type="http://schemas.openxmlformats.org/officeDocument/2006/relationships/hyperlink" Target="https://drive.google.com/file/d/1n5fORXemB5J5FnEncs8icx3GmFzFx1ys/view?usp=drivesdk" TargetMode="External"/><Relationship Id="rId32" Type="http://schemas.openxmlformats.org/officeDocument/2006/relationships/hyperlink" Target="https://drive.google.com/file/d/1VzAEjz-aLQlzhpxvs0oEsno7ltM9moYc/view?usp=drivesdk" TargetMode="External"/><Relationship Id="rId35" Type="http://schemas.openxmlformats.org/officeDocument/2006/relationships/hyperlink" Target="https://drive.google.com/file/d/1xIAu4UyJ1O6w60aw7keMsncNd-zODhlr/view?usp=drivesdk" TargetMode="External"/><Relationship Id="rId34" Type="http://schemas.openxmlformats.org/officeDocument/2006/relationships/hyperlink" Target="https://drive.google.com/file/d/1RWfnKRM7Bn5CcQG7FfXx08by_iSr1-0j/view?usp=drivesdk" TargetMode="External"/><Relationship Id="rId37" Type="http://schemas.openxmlformats.org/officeDocument/2006/relationships/hyperlink" Target="https://drive.google.com/file/d/1w0vb8LMx5s7IbMMFugZhCVBrHrKTBwBI/view?usp=drivesdk" TargetMode="External"/><Relationship Id="rId36" Type="http://schemas.openxmlformats.org/officeDocument/2006/relationships/hyperlink" Target="https://drive.google.com/file/d/1oB-4OmEfPe5AYcPrflolSXAYqp9CdQXg/view?usp=drivesdk" TargetMode="External"/><Relationship Id="rId39" Type="http://schemas.openxmlformats.org/officeDocument/2006/relationships/hyperlink" Target="https://drive.google.com/file/d/1-195f-S4qUzCOjNE2ak7LmgTZZ_pzan5/view?usp=drivesdk" TargetMode="External"/><Relationship Id="rId38" Type="http://schemas.openxmlformats.org/officeDocument/2006/relationships/hyperlink" Target="https://drive.google.com/file/d/1GLzjG4g6AqPDsPkofVqYZTzLeFg4hsZR/view?usp=drivesdk" TargetMode="External"/><Relationship Id="rId20" Type="http://schemas.openxmlformats.org/officeDocument/2006/relationships/hyperlink" Target="https://drive.google.com/file/d/1eh9mTsqI_tAXJKFk3byvt-PIyFNeMFfV/view?usp=drivesdk" TargetMode="External"/><Relationship Id="rId22" Type="http://schemas.openxmlformats.org/officeDocument/2006/relationships/hyperlink" Target="https://drive.google.com/file/d/1VH1RtWpmaxRKR44uFjv7SSWa09c7LorY/view?usp=drivesdk" TargetMode="External"/><Relationship Id="rId21" Type="http://schemas.openxmlformats.org/officeDocument/2006/relationships/hyperlink" Target="https://drive.google.com/file/d/1Q6d28M4HeI-aLtr4cOZHtypyjyrE1hxL/view?usp=drivesdk" TargetMode="External"/><Relationship Id="rId24" Type="http://schemas.openxmlformats.org/officeDocument/2006/relationships/hyperlink" Target="https://drive.google.com/file/d/1e39zL_3vXYfnZOud5hTQQG-SZzmFqM6u/view?usp=drivesdk" TargetMode="External"/><Relationship Id="rId23" Type="http://schemas.openxmlformats.org/officeDocument/2006/relationships/hyperlink" Target="https://drive.google.com/file/d/1GfBlwvkQNrduJ_ynLXBLcRYw29gqgJ8Z/view?usp=drivesdk" TargetMode="External"/><Relationship Id="rId26" Type="http://schemas.openxmlformats.org/officeDocument/2006/relationships/hyperlink" Target="https://drive.google.com/file/d/1uuxhg4DY7HILOZYdmHibG6qWxkYiLW4b/view?usp=drivesdk" TargetMode="External"/><Relationship Id="rId25" Type="http://schemas.openxmlformats.org/officeDocument/2006/relationships/hyperlink" Target="https://drive.google.com/file/d/1XJtXwE8O8jk__skOLDW97BDDCyIgqY2b/view?usp=drivesdk" TargetMode="External"/><Relationship Id="rId28" Type="http://schemas.openxmlformats.org/officeDocument/2006/relationships/hyperlink" Target="https://drive.google.com/file/d/1CuzfpnsZsojZJXzJlgOMZtps0cOQg5Dl/view?usp=drivesdk" TargetMode="External"/><Relationship Id="rId27" Type="http://schemas.openxmlformats.org/officeDocument/2006/relationships/hyperlink" Target="https://drive.google.com/file/d/1JXi7hK7DTtRVoKrvAYw4u1iBif56lWVf/view?usp=drivesdk" TargetMode="External"/><Relationship Id="rId29" Type="http://schemas.openxmlformats.org/officeDocument/2006/relationships/hyperlink" Target="https://drive.google.com/file/d/17JnY9grXTdvLH_5K06q2L7zTpYBySLwM/view?usp=drivesdk" TargetMode="External"/><Relationship Id="rId11" Type="http://schemas.openxmlformats.org/officeDocument/2006/relationships/hyperlink" Target="https://drive.google.com/file/d/1S881QquSKBjzYgDbnXESe3N4hRaeYMTS/view?usp=drivesdk" TargetMode="External"/><Relationship Id="rId10" Type="http://schemas.openxmlformats.org/officeDocument/2006/relationships/hyperlink" Target="https://drive.google.com/file/d/1NAalr6eH1eCym6OX5rNpLVRd_DdnONEf/view?usp=drivesdk" TargetMode="External"/><Relationship Id="rId13" Type="http://schemas.openxmlformats.org/officeDocument/2006/relationships/hyperlink" Target="https://drive.google.com/file/d/1qAa5jtJEDT-Jb2vBfWCVlCNdX5lLjSL4/view?usp=drivesdk" TargetMode="External"/><Relationship Id="rId12" Type="http://schemas.openxmlformats.org/officeDocument/2006/relationships/hyperlink" Target="https://drive.google.com/file/d/1JXFHvpEw4-tmuwvn-v6M0l8EdbU2_pCe/view?usp=drivesdk" TargetMode="External"/><Relationship Id="rId15" Type="http://schemas.openxmlformats.org/officeDocument/2006/relationships/hyperlink" Target="https://drive.google.com/file/d/15KDzW8UMt1tLOsgMYN1VSKzagSkJ_2MA/view?usp=drivesdk" TargetMode="External"/><Relationship Id="rId14" Type="http://schemas.openxmlformats.org/officeDocument/2006/relationships/hyperlink" Target="https://drive.google.com/file/d/1NZ02MsXixFPuDOTm2x6h-xN3h5XWg8P7/view?usp=drivesdk" TargetMode="External"/><Relationship Id="rId17" Type="http://schemas.openxmlformats.org/officeDocument/2006/relationships/hyperlink" Target="https://drive.google.com/file/d/1XfVyipJ1nxehs7VVWM-1VIalMEaLxpix/view?usp=drivesdk" TargetMode="External"/><Relationship Id="rId16" Type="http://schemas.openxmlformats.org/officeDocument/2006/relationships/hyperlink" Target="https://drive.google.com/file/d/1-KeKejYCGl9_gmuTN20KSIB0VYkeOl3l/view?usp=drivesdk" TargetMode="External"/><Relationship Id="rId19" Type="http://schemas.openxmlformats.org/officeDocument/2006/relationships/hyperlink" Target="https://drive.google.com/file/d/1k_FfWJbSc2dIKqVZuqlJ__uhwC55Gpqo/view?usp=drivesdk" TargetMode="External"/><Relationship Id="rId18" Type="http://schemas.openxmlformats.org/officeDocument/2006/relationships/hyperlink" Target="https://drive.google.com/file/d/1WAW5TcZhdEhLEnM7YN9lUqC3aOAfy7V9/view?usp=drivesdk" TargetMode="External"/><Relationship Id="rId1" Type="http://schemas.openxmlformats.org/officeDocument/2006/relationships/hyperlink" Target="https://drive.google.com/file/d/1_R1UWXDTt-bLFMDkNOWQ6egi-UL_zGKg/view?usp=drivesdk" TargetMode="External"/><Relationship Id="rId2" Type="http://schemas.openxmlformats.org/officeDocument/2006/relationships/hyperlink" Target="https://drive.google.com/file/d/1muyYxcXL9vIkJFUcKEI-bb2oU_bo2hyO/view?usp=drivesdk" TargetMode="External"/><Relationship Id="rId3" Type="http://schemas.openxmlformats.org/officeDocument/2006/relationships/hyperlink" Target="https://drive.google.com/file/d/1iTwUKaZsIZ13xdRB8wjHMfnjzZ1lGY3W/view?usp=drivesdk" TargetMode="External"/><Relationship Id="rId4" Type="http://schemas.openxmlformats.org/officeDocument/2006/relationships/hyperlink" Target="https://drive.google.com/file/d/1NojV82Zia51HKBajqwSxOTdAn19vqQsV/view?usp=drivesdk" TargetMode="External"/><Relationship Id="rId9" Type="http://schemas.openxmlformats.org/officeDocument/2006/relationships/hyperlink" Target="https://drive.google.com/file/d/1C0RdH7sNRFoqgMH95ye5HzbQufuk4EMz/view?usp=drivesdk" TargetMode="External"/><Relationship Id="rId5" Type="http://schemas.openxmlformats.org/officeDocument/2006/relationships/hyperlink" Target="https://drive.google.com/file/d/1Kd52ZMH58RWcoU0lXcWyYQ20HiP1r-ju/view?usp=drivesdk" TargetMode="External"/><Relationship Id="rId6" Type="http://schemas.openxmlformats.org/officeDocument/2006/relationships/hyperlink" Target="https://drive.google.com/file/d/1Q204J4FVWo_wR_cCzlAX8xp6odCgNRcG/view?usp=drivesdk" TargetMode="External"/><Relationship Id="rId7" Type="http://schemas.openxmlformats.org/officeDocument/2006/relationships/hyperlink" Target="https://drive.google.com/file/d/1XjHncJHz9VLj05QpNgVnKrJj1II_pgWa/view?usp=drivesdk" TargetMode="External"/><Relationship Id="rId8" Type="http://schemas.openxmlformats.org/officeDocument/2006/relationships/hyperlink" Target="https://drive.google.com/file/d/1FTEZBhogUpykiUp65u6ujEfdYHfkIbAn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QjVheuczy095BfZ0rY44N3YWlJPoRhn/view?usp=drivesd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5" max="5" width="18.63"/>
    <col customWidth="1" min="10" max="10" width="13.38"/>
    <col customWidth="1" min="11" max="11" width="42.25"/>
    <col customWidth="1" min="12" max="12" width="59.25"/>
    <col customWidth="1" min="13" max="13" width="22.38"/>
    <col customWidth="1" min="15" max="15" width="17.13"/>
    <col customWidth="1" min="16" max="16" width="15.5" outlineLevel="1"/>
    <col min="17" max="17" width="12.63" outlineLevel="1"/>
    <col customWidth="1" min="18" max="18" width="17.75" outlineLevel="1"/>
    <col customWidth="1" min="19" max="19" width="21.88" outlineLevel="1"/>
    <col customWidth="1" min="20" max="20" width="73.13" outlineLevel="1"/>
    <col customWidth="1" min="21" max="21" width="16.63" outlineLevel="1"/>
    <col customWidth="1" min="22" max="22" width="11.38" outlineLevel="1"/>
    <col customWidth="1" min="23" max="23" width="10.5" outlineLevel="1"/>
    <col customWidth="1" min="24" max="24" width="10.88" outlineLevel="1"/>
    <col customWidth="1" min="25" max="25" width="13.25" outlineLevel="1"/>
    <col customWidth="1" min="26" max="27" width="18.13" outlineLevel="1"/>
    <col customWidth="1" min="28" max="28" width="30.38" outlineLevel="1"/>
    <col customWidth="1" min="29" max="31" width="18.13" outlineLevel="1"/>
  </cols>
  <sheetData>
    <row r="1">
      <c r="A1" s="2" t="s">
        <v>0</v>
      </c>
      <c r="B1" s="3" t="s">
        <v>1</v>
      </c>
      <c r="C1" s="4" t="s">
        <v>3</v>
      </c>
      <c r="D1" s="5" t="s">
        <v>4</v>
      </c>
      <c r="E1" s="6" t="s">
        <v>5</v>
      </c>
      <c r="F1" s="3" t="s">
        <v>6</v>
      </c>
      <c r="G1" s="4" t="s">
        <v>8</v>
      </c>
      <c r="H1" s="5" t="s">
        <v>9</v>
      </c>
      <c r="I1" s="2" t="s">
        <v>10</v>
      </c>
      <c r="J1" s="2" t="s">
        <v>11</v>
      </c>
      <c r="K1" s="9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13" t="s">
        <v>18</v>
      </c>
      <c r="Q1" s="16" t="s">
        <v>21</v>
      </c>
      <c r="R1" s="17" t="s">
        <v>12</v>
      </c>
      <c r="S1" s="17" t="s">
        <v>25</v>
      </c>
      <c r="T1" s="19" t="s">
        <v>26</v>
      </c>
      <c r="U1" s="21" t="s">
        <v>28</v>
      </c>
      <c r="V1" s="25" t="s">
        <v>19</v>
      </c>
      <c r="W1" s="25" t="s">
        <v>36</v>
      </c>
      <c r="X1" s="25" t="s">
        <v>38</v>
      </c>
      <c r="Y1" s="25" t="s">
        <v>39</v>
      </c>
      <c r="Z1" s="25" t="s">
        <v>40</v>
      </c>
      <c r="AA1" s="25" t="s">
        <v>42</v>
      </c>
      <c r="AB1" s="25" t="s">
        <v>43</v>
      </c>
      <c r="AC1" s="25" t="s">
        <v>45</v>
      </c>
      <c r="AD1" s="25" t="s">
        <v>46</v>
      </c>
      <c r="AE1" s="31" t="s">
        <v>47</v>
      </c>
    </row>
    <row r="2">
      <c r="A2" s="22">
        <v>1.0</v>
      </c>
      <c r="B2" s="24" t="s">
        <v>32</v>
      </c>
      <c r="C2" s="26" t="s">
        <v>35</v>
      </c>
      <c r="D2" s="29" t="s">
        <v>37</v>
      </c>
      <c r="E2" s="37" t="str">
        <f t="shared" ref="E2:E194" si="1">B2&amp;" "&amp;C2&amp;" "&amp;D2</f>
        <v>พ.ท. วีระพงศ์ จันทรศิริภาส</v>
      </c>
      <c r="F2" s="24" t="s">
        <v>62</v>
      </c>
      <c r="G2" s="26" t="s">
        <v>63</v>
      </c>
      <c r="H2" s="29" t="s">
        <v>64</v>
      </c>
      <c r="I2" s="39">
        <v>1.455601717E9</v>
      </c>
      <c r="J2" s="39">
        <v>1.909900040261E12</v>
      </c>
      <c r="K2" s="40" t="s">
        <v>68</v>
      </c>
      <c r="L2" s="29" t="s">
        <v>69</v>
      </c>
      <c r="M2" s="41" t="s">
        <v>75</v>
      </c>
      <c r="N2" s="39" t="s">
        <v>72</v>
      </c>
      <c r="O2" s="39" t="s">
        <v>73</v>
      </c>
      <c r="P2" s="42">
        <v>8.98764145E8</v>
      </c>
      <c r="Q2" s="43"/>
      <c r="R2" s="45" t="s">
        <v>31</v>
      </c>
      <c r="S2" s="46"/>
      <c r="T2" s="51" t="s">
        <v>79</v>
      </c>
      <c r="U2" s="53">
        <v>31021.0</v>
      </c>
      <c r="V2" s="31" t="s">
        <v>77</v>
      </c>
      <c r="W2" s="55">
        <f t="shared" ref="W2:W274" si="2">DATEDIF(U2,TODAY(),"Y")</f>
        <v>41</v>
      </c>
      <c r="X2" s="55" t="s">
        <v>98</v>
      </c>
      <c r="Y2" s="55" t="s">
        <v>99</v>
      </c>
      <c r="Z2" s="55" t="s">
        <v>100</v>
      </c>
      <c r="AA2" s="58" t="s">
        <v>101</v>
      </c>
      <c r="AB2" s="58" t="s">
        <v>102</v>
      </c>
      <c r="AC2" s="55"/>
      <c r="AD2" s="55" t="s">
        <v>103</v>
      </c>
      <c r="AE2" s="60" t="s">
        <v>104</v>
      </c>
    </row>
    <row r="3">
      <c r="A3" s="22">
        <v>2.0</v>
      </c>
      <c r="B3" s="24" t="s">
        <v>32</v>
      </c>
      <c r="C3" s="26" t="s">
        <v>89</v>
      </c>
      <c r="D3" s="29" t="s">
        <v>90</v>
      </c>
      <c r="E3" s="37" t="str">
        <f t="shared" si="1"/>
        <v>พ.ท. นฤเบศร์ บุญคุ้ม</v>
      </c>
      <c r="F3" s="24" t="s">
        <v>62</v>
      </c>
      <c r="G3" s="26" t="s">
        <v>92</v>
      </c>
      <c r="H3" s="29" t="s">
        <v>93</v>
      </c>
      <c r="I3" s="39">
        <v>1.520802081E9</v>
      </c>
      <c r="J3" s="39">
        <v>1.200100337887E12</v>
      </c>
      <c r="K3" s="40" t="s">
        <v>94</v>
      </c>
      <c r="L3" s="29" t="s">
        <v>95</v>
      </c>
      <c r="M3" s="41" t="s">
        <v>119</v>
      </c>
      <c r="N3" s="39" t="s">
        <v>72</v>
      </c>
      <c r="O3" s="39" t="s">
        <v>73</v>
      </c>
      <c r="P3" s="42">
        <v>9.57966251E8</v>
      </c>
      <c r="Q3" s="43"/>
      <c r="R3" s="45" t="s">
        <v>31</v>
      </c>
      <c r="S3" s="46"/>
      <c r="T3" s="51" t="s">
        <v>124</v>
      </c>
      <c r="U3" s="62">
        <v>33296.0</v>
      </c>
      <c r="V3" s="31" t="s">
        <v>77</v>
      </c>
      <c r="W3" s="55">
        <f t="shared" si="2"/>
        <v>35</v>
      </c>
      <c r="X3" s="55" t="s">
        <v>98</v>
      </c>
      <c r="Y3" s="55" t="s">
        <v>99</v>
      </c>
      <c r="Z3" s="55" t="s">
        <v>138</v>
      </c>
      <c r="AA3" s="55"/>
      <c r="AB3" s="55"/>
      <c r="AC3" s="55"/>
      <c r="AD3" s="55" t="s">
        <v>140</v>
      </c>
      <c r="AE3" s="55" t="s">
        <v>142</v>
      </c>
    </row>
    <row r="4">
      <c r="A4" s="22">
        <v>3.0</v>
      </c>
      <c r="B4" s="24" t="s">
        <v>109</v>
      </c>
      <c r="C4" s="26" t="s">
        <v>110</v>
      </c>
      <c r="D4" s="29" t="s">
        <v>112</v>
      </c>
      <c r="E4" s="37" t="str">
        <f t="shared" si="1"/>
        <v>ร.อ. พัฒนศักดิ์ บุญประเสริฐ</v>
      </c>
      <c r="F4" s="24" t="s">
        <v>115</v>
      </c>
      <c r="G4" s="26" t="s">
        <v>116</v>
      </c>
      <c r="H4" s="29" t="s">
        <v>117</v>
      </c>
      <c r="I4" s="39">
        <v>1.494900475E9</v>
      </c>
      <c r="J4" s="39">
        <v>1.700200038909E12</v>
      </c>
      <c r="K4" s="40" t="s">
        <v>121</v>
      </c>
      <c r="L4" s="29" t="s">
        <v>122</v>
      </c>
      <c r="M4" s="41" t="s">
        <v>145</v>
      </c>
      <c r="N4" s="15" t="s">
        <v>72</v>
      </c>
      <c r="O4" s="22" t="s">
        <v>73</v>
      </c>
      <c r="P4" s="42">
        <v>8.77540373E8</v>
      </c>
      <c r="Q4" s="43"/>
      <c r="R4" s="45" t="s">
        <v>31</v>
      </c>
      <c r="S4" s="46"/>
      <c r="T4" s="66" t="s">
        <v>149</v>
      </c>
      <c r="U4" s="53">
        <v>32136.0</v>
      </c>
      <c r="V4" s="31" t="s">
        <v>77</v>
      </c>
      <c r="W4" s="55">
        <f t="shared" si="2"/>
        <v>38</v>
      </c>
      <c r="X4" s="55" t="s">
        <v>98</v>
      </c>
      <c r="Y4" s="55" t="s">
        <v>99</v>
      </c>
      <c r="Z4" s="55" t="s">
        <v>157</v>
      </c>
      <c r="AA4" s="58" t="s">
        <v>158</v>
      </c>
      <c r="AB4" s="58" t="s">
        <v>160</v>
      </c>
      <c r="AC4" s="55"/>
      <c r="AD4" s="55" t="s">
        <v>161</v>
      </c>
      <c r="AE4" s="55" t="s">
        <v>162</v>
      </c>
    </row>
    <row r="5">
      <c r="A5" s="22">
        <v>4.0</v>
      </c>
      <c r="B5" s="24" t="s">
        <v>88</v>
      </c>
      <c r="C5" s="26" t="s">
        <v>127</v>
      </c>
      <c r="D5" s="29" t="s">
        <v>128</v>
      </c>
      <c r="E5" s="37" t="str">
        <f t="shared" si="1"/>
        <v>พ.ต. ครรชิต โสภาสาย</v>
      </c>
      <c r="F5" s="24" t="s">
        <v>91</v>
      </c>
      <c r="G5" s="26" t="s">
        <v>129</v>
      </c>
      <c r="H5" s="29" t="s">
        <v>130</v>
      </c>
      <c r="I5" s="39">
        <v>1.495000342E9</v>
      </c>
      <c r="J5" s="39">
        <v>1.160100207402E12</v>
      </c>
      <c r="K5" s="40" t="s">
        <v>131</v>
      </c>
      <c r="L5" s="29" t="s">
        <v>95</v>
      </c>
      <c r="M5" s="41" t="s">
        <v>170</v>
      </c>
      <c r="N5" s="39" t="s">
        <v>85</v>
      </c>
      <c r="O5" s="39" t="s">
        <v>73</v>
      </c>
      <c r="P5" s="67">
        <v>9.10568849E8</v>
      </c>
      <c r="Q5" s="43"/>
      <c r="R5" s="45" t="s">
        <v>31</v>
      </c>
      <c r="S5" s="46"/>
      <c r="T5" s="66" t="s">
        <v>174</v>
      </c>
      <c r="U5" s="57">
        <v>32159.0</v>
      </c>
      <c r="V5" s="31" t="s">
        <v>77</v>
      </c>
      <c r="W5" s="55">
        <f t="shared" si="2"/>
        <v>38</v>
      </c>
      <c r="X5" s="55" t="s">
        <v>98</v>
      </c>
      <c r="Y5" s="55" t="s">
        <v>99</v>
      </c>
      <c r="Z5" s="55" t="s">
        <v>187</v>
      </c>
      <c r="AA5" s="55"/>
      <c r="AB5" s="55"/>
      <c r="AC5" s="55"/>
      <c r="AD5" s="55" t="s">
        <v>190</v>
      </c>
      <c r="AE5" s="55" t="s">
        <v>192</v>
      </c>
    </row>
    <row r="6">
      <c r="A6" s="22">
        <v>5.0</v>
      </c>
      <c r="B6" s="24" t="s">
        <v>109</v>
      </c>
      <c r="C6" s="26" t="s">
        <v>146</v>
      </c>
      <c r="D6" s="29" t="s">
        <v>147</v>
      </c>
      <c r="E6" s="37" t="str">
        <f t="shared" si="1"/>
        <v>ร.อ. วีรวัฒน์ เลาอารีกิจ</v>
      </c>
      <c r="F6" s="24" t="s">
        <v>115</v>
      </c>
      <c r="G6" s="26" t="s">
        <v>150</v>
      </c>
      <c r="H6" s="29" t="s">
        <v>151</v>
      </c>
      <c r="I6" s="39">
        <v>1.482800925E9</v>
      </c>
      <c r="J6" s="39">
        <v>1.311100021782E12</v>
      </c>
      <c r="K6" s="40" t="s">
        <v>152</v>
      </c>
      <c r="L6" s="29" t="s">
        <v>153</v>
      </c>
      <c r="M6" s="41" t="s">
        <v>197</v>
      </c>
      <c r="N6" s="39" t="s">
        <v>155</v>
      </c>
      <c r="O6" s="39" t="s">
        <v>73</v>
      </c>
      <c r="P6" s="42">
        <v>8.71669123E8</v>
      </c>
      <c r="Q6" s="43"/>
      <c r="R6" s="45" t="s">
        <v>31</v>
      </c>
      <c r="S6" s="46"/>
      <c r="T6" s="66" t="s">
        <v>198</v>
      </c>
      <c r="U6" s="53">
        <v>30690.0</v>
      </c>
      <c r="V6" s="31" t="s">
        <v>77</v>
      </c>
      <c r="W6" s="55">
        <f t="shared" si="2"/>
        <v>42</v>
      </c>
      <c r="X6" s="55" t="s">
        <v>98</v>
      </c>
      <c r="Y6" s="55" t="s">
        <v>99</v>
      </c>
      <c r="Z6" s="55" t="s">
        <v>207</v>
      </c>
      <c r="AA6" s="58" t="s">
        <v>208</v>
      </c>
      <c r="AB6" s="58" t="s">
        <v>209</v>
      </c>
      <c r="AC6" s="55"/>
      <c r="AD6" s="55" t="s">
        <v>210</v>
      </c>
      <c r="AE6" s="55" t="s">
        <v>211</v>
      </c>
    </row>
    <row r="7">
      <c r="A7" s="22">
        <v>6.0</v>
      </c>
      <c r="B7" s="24" t="s">
        <v>54</v>
      </c>
      <c r="C7" s="72" t="s">
        <v>159</v>
      </c>
      <c r="D7" s="50" t="s">
        <v>163</v>
      </c>
      <c r="E7" s="37" t="str">
        <f t="shared" si="1"/>
        <v>ร.ท.หญิง ทิพวรรณ บุญหวา</v>
      </c>
      <c r="F7" s="24" t="s">
        <v>80</v>
      </c>
      <c r="G7" s="26" t="s">
        <v>164</v>
      </c>
      <c r="H7" s="29" t="s">
        <v>165</v>
      </c>
      <c r="I7" s="39">
        <v>6.4910505E9</v>
      </c>
      <c r="J7" s="39">
        <v>1.640500026036E12</v>
      </c>
      <c r="K7" s="40" t="s">
        <v>166</v>
      </c>
      <c r="L7" s="29" t="s">
        <v>167</v>
      </c>
      <c r="M7" s="41" t="s">
        <v>215</v>
      </c>
      <c r="N7" s="39" t="s">
        <v>72</v>
      </c>
      <c r="O7" s="39" t="s">
        <v>27</v>
      </c>
      <c r="P7" s="42">
        <v>8.50397199E8</v>
      </c>
      <c r="Q7" s="43"/>
      <c r="R7" s="45" t="s">
        <v>31</v>
      </c>
      <c r="S7" s="46"/>
      <c r="T7" s="66" t="s">
        <v>219</v>
      </c>
      <c r="U7" s="57">
        <v>31417.0</v>
      </c>
      <c r="V7" s="31" t="s">
        <v>77</v>
      </c>
      <c r="W7" s="55">
        <f t="shared" si="2"/>
        <v>40</v>
      </c>
      <c r="X7" s="55" t="s">
        <v>229</v>
      </c>
      <c r="Y7" s="55" t="s">
        <v>99</v>
      </c>
      <c r="Z7" s="55" t="s">
        <v>232</v>
      </c>
      <c r="AA7" s="58" t="s">
        <v>233</v>
      </c>
      <c r="AB7" s="58" t="s">
        <v>234</v>
      </c>
      <c r="AC7" s="55"/>
      <c r="AD7" s="55" t="s">
        <v>235</v>
      </c>
      <c r="AE7" s="55" t="s">
        <v>236</v>
      </c>
    </row>
    <row r="8">
      <c r="A8" s="22">
        <v>7.0</v>
      </c>
      <c r="B8" s="76" t="s">
        <v>109</v>
      </c>
      <c r="C8" s="72" t="s">
        <v>180</v>
      </c>
      <c r="D8" s="50" t="s">
        <v>181</v>
      </c>
      <c r="E8" s="37" t="str">
        <f t="shared" si="1"/>
        <v>ร.อ. พัฐสรร อินนุช</v>
      </c>
      <c r="F8" s="24" t="s">
        <v>115</v>
      </c>
      <c r="G8" s="72" t="s">
        <v>182</v>
      </c>
      <c r="H8" s="50" t="s">
        <v>183</v>
      </c>
      <c r="I8" s="77">
        <v>1.362402118E9</v>
      </c>
      <c r="J8" s="77">
        <v>3.120100197233E12</v>
      </c>
      <c r="K8" s="78" t="s">
        <v>184</v>
      </c>
      <c r="L8" s="50" t="s">
        <v>185</v>
      </c>
      <c r="M8" s="41" t="s">
        <v>254</v>
      </c>
      <c r="N8" s="39" t="s">
        <v>188</v>
      </c>
      <c r="O8" s="39" t="s">
        <v>189</v>
      </c>
      <c r="P8" s="67">
        <v>9.23655688E8</v>
      </c>
      <c r="Q8" s="43"/>
      <c r="R8" s="45" t="s">
        <v>31</v>
      </c>
      <c r="S8" s="46"/>
      <c r="T8" s="66" t="s">
        <v>255</v>
      </c>
      <c r="U8" s="53">
        <v>27498.0</v>
      </c>
      <c r="V8" s="31" t="s">
        <v>77</v>
      </c>
      <c r="W8" s="55">
        <f t="shared" si="2"/>
        <v>51</v>
      </c>
      <c r="X8" s="55" t="s">
        <v>98</v>
      </c>
      <c r="Y8" s="55" t="s">
        <v>99</v>
      </c>
      <c r="Z8" s="55" t="s">
        <v>256</v>
      </c>
      <c r="AA8" s="58" t="s">
        <v>257</v>
      </c>
      <c r="AB8" s="58" t="s">
        <v>258</v>
      </c>
      <c r="AC8" s="55"/>
      <c r="AD8" s="55" t="s">
        <v>259</v>
      </c>
      <c r="AE8" s="55" t="s">
        <v>260</v>
      </c>
    </row>
    <row r="9">
      <c r="A9" s="22">
        <v>8.0</v>
      </c>
      <c r="B9" s="82" t="s">
        <v>88</v>
      </c>
      <c r="C9" s="83" t="s">
        <v>205</v>
      </c>
      <c r="D9" s="83" t="s">
        <v>206</v>
      </c>
      <c r="E9" s="37" t="str">
        <f t="shared" si="1"/>
        <v>พ.ต. คนอง คำปิว</v>
      </c>
      <c r="F9" s="85" t="s">
        <v>91</v>
      </c>
      <c r="G9" s="83" t="s">
        <v>212</v>
      </c>
      <c r="H9" s="86" t="s">
        <v>213</v>
      </c>
      <c r="I9" s="20">
        <v>1.554100056E9</v>
      </c>
      <c r="J9" s="20">
        <v>1.540300009163E12</v>
      </c>
      <c r="K9" s="87" t="s">
        <v>214</v>
      </c>
      <c r="L9" s="86" t="s">
        <v>216</v>
      </c>
      <c r="M9" s="41" t="s">
        <v>170</v>
      </c>
      <c r="N9" s="20" t="s">
        <v>85</v>
      </c>
      <c r="O9" s="20" t="s">
        <v>218</v>
      </c>
      <c r="P9" s="71">
        <v>6.12935391E8</v>
      </c>
      <c r="Q9" s="88"/>
      <c r="R9" s="45" t="s">
        <v>31</v>
      </c>
      <c r="S9" s="89"/>
      <c r="T9" s="66" t="s">
        <v>278</v>
      </c>
      <c r="U9" s="53">
        <v>31058.0</v>
      </c>
      <c r="V9" s="31" t="s">
        <v>77</v>
      </c>
      <c r="W9" s="55">
        <f t="shared" si="2"/>
        <v>41</v>
      </c>
      <c r="X9" s="55" t="s">
        <v>98</v>
      </c>
      <c r="Y9" s="55" t="s">
        <v>99</v>
      </c>
      <c r="Z9" s="55" t="s">
        <v>286</v>
      </c>
      <c r="AA9" s="58" t="s">
        <v>287</v>
      </c>
      <c r="AB9" s="58" t="s">
        <v>288</v>
      </c>
      <c r="AC9" s="55"/>
      <c r="AD9" s="55" t="s">
        <v>290</v>
      </c>
      <c r="AE9" s="55" t="s">
        <v>292</v>
      </c>
    </row>
    <row r="10">
      <c r="A10" s="22">
        <v>9.0</v>
      </c>
      <c r="B10" s="76" t="s">
        <v>32</v>
      </c>
      <c r="C10" s="83" t="s">
        <v>230</v>
      </c>
      <c r="D10" s="86" t="s">
        <v>231</v>
      </c>
      <c r="E10" s="37" t="str">
        <f t="shared" si="1"/>
        <v>พ.ท. ปรัชฌา อุบลรัตน์</v>
      </c>
      <c r="F10" s="76" t="s">
        <v>62</v>
      </c>
      <c r="G10" s="83" t="s">
        <v>237</v>
      </c>
      <c r="H10" s="86" t="s">
        <v>238</v>
      </c>
      <c r="I10" s="20">
        <v>1.494901694E9</v>
      </c>
      <c r="J10" s="20">
        <v>1.70990037134E12</v>
      </c>
      <c r="K10" s="87" t="s">
        <v>240</v>
      </c>
      <c r="L10" s="86" t="s">
        <v>242</v>
      </c>
      <c r="M10" s="41" t="s">
        <v>298</v>
      </c>
      <c r="N10" s="77" t="s">
        <v>72</v>
      </c>
      <c r="O10" s="20" t="s">
        <v>246</v>
      </c>
      <c r="P10" s="71">
        <v>9.5448496E8</v>
      </c>
      <c r="Q10" s="88"/>
      <c r="R10" s="45" t="s">
        <v>31</v>
      </c>
      <c r="S10" s="89"/>
      <c r="T10" s="66" t="s">
        <v>299</v>
      </c>
      <c r="U10" s="62">
        <v>32285.0</v>
      </c>
      <c r="V10" s="31" t="s">
        <v>77</v>
      </c>
      <c r="W10" s="55">
        <f t="shared" si="2"/>
        <v>38</v>
      </c>
      <c r="X10" s="55" t="s">
        <v>98</v>
      </c>
      <c r="Y10" s="55" t="s">
        <v>99</v>
      </c>
      <c r="Z10" s="55" t="s">
        <v>315</v>
      </c>
      <c r="AA10" s="55"/>
      <c r="AB10" s="55"/>
      <c r="AC10" s="55"/>
      <c r="AD10" s="55" t="s">
        <v>316</v>
      </c>
      <c r="AE10" s="55" t="s">
        <v>317</v>
      </c>
    </row>
    <row r="11">
      <c r="A11" s="22">
        <v>10.0</v>
      </c>
      <c r="B11" s="76" t="s">
        <v>32</v>
      </c>
      <c r="C11" s="72" t="s">
        <v>261</v>
      </c>
      <c r="D11" s="50" t="s">
        <v>262</v>
      </c>
      <c r="E11" s="37" t="str">
        <f t="shared" si="1"/>
        <v>พ.ท. วิทยา ชารีรัตน์</v>
      </c>
      <c r="F11" s="76" t="s">
        <v>62</v>
      </c>
      <c r="G11" s="72" t="s">
        <v>267</v>
      </c>
      <c r="H11" s="50" t="s">
        <v>268</v>
      </c>
      <c r="I11" s="77">
        <v>1.467700472E9</v>
      </c>
      <c r="J11" s="77">
        <v>1.341800011216E12</v>
      </c>
      <c r="K11" s="78" t="s">
        <v>240</v>
      </c>
      <c r="L11" s="50" t="s">
        <v>269</v>
      </c>
      <c r="M11" s="41" t="s">
        <v>319</v>
      </c>
      <c r="N11" s="77" t="s">
        <v>72</v>
      </c>
      <c r="O11" s="20" t="s">
        <v>275</v>
      </c>
      <c r="P11" s="71">
        <v>9.27446169E8</v>
      </c>
      <c r="Q11" s="88"/>
      <c r="R11" s="45" t="s">
        <v>31</v>
      </c>
      <c r="S11" s="89"/>
      <c r="T11" s="66" t="s">
        <v>320</v>
      </c>
      <c r="U11" s="53">
        <v>31042.0</v>
      </c>
      <c r="V11" s="31" t="s">
        <v>77</v>
      </c>
      <c r="W11" s="55">
        <f t="shared" si="2"/>
        <v>41</v>
      </c>
      <c r="X11" s="55" t="s">
        <v>98</v>
      </c>
      <c r="Y11" s="55" t="s">
        <v>99</v>
      </c>
      <c r="Z11" s="55" t="s">
        <v>329</v>
      </c>
      <c r="AA11" s="55"/>
      <c r="AB11" s="55"/>
      <c r="AC11" s="55"/>
      <c r="AD11" s="55" t="s">
        <v>332</v>
      </c>
      <c r="AE11" s="55" t="s">
        <v>333</v>
      </c>
    </row>
    <row r="12">
      <c r="A12" s="22">
        <v>11.0</v>
      </c>
      <c r="B12" s="98" t="s">
        <v>88</v>
      </c>
      <c r="C12" s="83" t="s">
        <v>282</v>
      </c>
      <c r="D12" s="86" t="s">
        <v>284</v>
      </c>
      <c r="E12" s="37" t="str">
        <f t="shared" si="1"/>
        <v>พ.ต. อธิราช สีสุกงาม</v>
      </c>
      <c r="F12" s="99" t="s">
        <v>91</v>
      </c>
      <c r="G12" s="83" t="s">
        <v>293</v>
      </c>
      <c r="H12" s="86" t="s">
        <v>294</v>
      </c>
      <c r="I12" s="20">
        <v>1.432901022E9</v>
      </c>
      <c r="J12" s="20">
        <v>3.100502031283E12</v>
      </c>
      <c r="K12" s="87" t="s">
        <v>240</v>
      </c>
      <c r="L12" s="86" t="s">
        <v>242</v>
      </c>
      <c r="M12" s="41" t="s">
        <v>337</v>
      </c>
      <c r="N12" s="39" t="s">
        <v>85</v>
      </c>
      <c r="O12" s="20" t="s">
        <v>246</v>
      </c>
      <c r="P12" s="71">
        <v>8.18068599E8</v>
      </c>
      <c r="Q12" s="88"/>
      <c r="R12" s="45" t="s">
        <v>31</v>
      </c>
      <c r="S12" s="89"/>
      <c r="T12" s="66" t="s">
        <v>338</v>
      </c>
      <c r="U12" s="53">
        <v>30063.0</v>
      </c>
      <c r="V12" s="31" t="s">
        <v>77</v>
      </c>
      <c r="W12" s="55">
        <f t="shared" si="2"/>
        <v>44</v>
      </c>
      <c r="X12" s="55" t="s">
        <v>98</v>
      </c>
      <c r="Y12" s="55" t="s">
        <v>99</v>
      </c>
      <c r="Z12" s="55" t="s">
        <v>343</v>
      </c>
      <c r="AA12" s="58" t="s">
        <v>344</v>
      </c>
      <c r="AB12" s="58" t="s">
        <v>345</v>
      </c>
      <c r="AC12" s="55"/>
      <c r="AD12" s="55" t="s">
        <v>346</v>
      </c>
      <c r="AE12" s="55" t="s">
        <v>348</v>
      </c>
    </row>
    <row r="13">
      <c r="A13" s="22">
        <v>12.0</v>
      </c>
      <c r="B13" s="24" t="s">
        <v>303</v>
      </c>
      <c r="C13" s="83" t="s">
        <v>304</v>
      </c>
      <c r="D13" s="86" t="s">
        <v>305</v>
      </c>
      <c r="E13" s="37" t="str">
        <f t="shared" si="1"/>
        <v>ร.อ.หญิง เกวลี เพ็ชรแก้ว</v>
      </c>
      <c r="F13" s="82" t="s">
        <v>115</v>
      </c>
      <c r="G13" s="83" t="s">
        <v>309</v>
      </c>
      <c r="H13" s="86" t="s">
        <v>310</v>
      </c>
      <c r="I13" s="20">
        <v>6.611050024E9</v>
      </c>
      <c r="J13" s="20">
        <v>1.101700062902E12</v>
      </c>
      <c r="K13" s="87" t="s">
        <v>240</v>
      </c>
      <c r="L13" s="86" t="s">
        <v>312</v>
      </c>
      <c r="M13" s="41" t="s">
        <v>356</v>
      </c>
      <c r="N13" s="39" t="s">
        <v>72</v>
      </c>
      <c r="O13" s="20" t="s">
        <v>27</v>
      </c>
      <c r="P13" s="95">
        <v>9.89922632E8</v>
      </c>
      <c r="Q13" s="88"/>
      <c r="R13" s="45" t="s">
        <v>31</v>
      </c>
      <c r="S13" s="89"/>
      <c r="T13" s="66" t="s">
        <v>360</v>
      </c>
      <c r="U13" s="53">
        <v>31911.0</v>
      </c>
      <c r="V13" s="31" t="s">
        <v>77</v>
      </c>
      <c r="W13" s="55">
        <f t="shared" si="2"/>
        <v>39</v>
      </c>
      <c r="X13" s="55" t="s">
        <v>229</v>
      </c>
      <c r="Y13" s="55" t="s">
        <v>99</v>
      </c>
      <c r="Z13" s="55" t="s">
        <v>361</v>
      </c>
      <c r="AA13" s="58" t="s">
        <v>363</v>
      </c>
      <c r="AB13" s="58" t="s">
        <v>365</v>
      </c>
      <c r="AC13" s="55"/>
      <c r="AD13" s="55" t="s">
        <v>366</v>
      </c>
      <c r="AE13" s="55" t="s">
        <v>367</v>
      </c>
    </row>
    <row r="14">
      <c r="A14" s="22">
        <v>13.0</v>
      </c>
      <c r="B14" s="98" t="s">
        <v>368</v>
      </c>
      <c r="C14" s="83" t="s">
        <v>328</v>
      </c>
      <c r="D14" s="86" t="s">
        <v>330</v>
      </c>
      <c r="E14" s="37" t="str">
        <f t="shared" si="1"/>
        <v>น.ต.หญิง เมทิกา วงษ์ฤทธิ์</v>
      </c>
      <c r="F14" s="101" t="s">
        <v>371</v>
      </c>
      <c r="G14" s="83" t="s">
        <v>339</v>
      </c>
      <c r="H14" s="86" t="s">
        <v>340</v>
      </c>
      <c r="I14" s="20">
        <v>8.57103041E9</v>
      </c>
      <c r="J14" s="20">
        <v>1.101400644761E12</v>
      </c>
      <c r="K14" s="87" t="s">
        <v>240</v>
      </c>
      <c r="L14" s="86" t="s">
        <v>341</v>
      </c>
      <c r="M14" s="41" t="s">
        <v>375</v>
      </c>
      <c r="N14" s="39" t="s">
        <v>155</v>
      </c>
      <c r="O14" s="20" t="s">
        <v>27</v>
      </c>
      <c r="P14" s="95">
        <v>9.52432645E8</v>
      </c>
      <c r="Q14" s="88"/>
      <c r="R14" s="45" t="s">
        <v>31</v>
      </c>
      <c r="S14" s="89"/>
      <c r="T14" s="66" t="s">
        <v>379</v>
      </c>
      <c r="U14" s="53">
        <v>31360.0</v>
      </c>
      <c r="V14" s="31" t="s">
        <v>77</v>
      </c>
      <c r="W14" s="55">
        <f t="shared" si="2"/>
        <v>40</v>
      </c>
      <c r="X14" s="55" t="s">
        <v>229</v>
      </c>
      <c r="Y14" s="55" t="s">
        <v>99</v>
      </c>
      <c r="Z14" s="55" t="s">
        <v>383</v>
      </c>
      <c r="AA14" s="58" t="s">
        <v>384</v>
      </c>
      <c r="AB14" s="58" t="s">
        <v>385</v>
      </c>
      <c r="AC14" s="55"/>
      <c r="AD14" s="55" t="s">
        <v>387</v>
      </c>
      <c r="AE14" s="55" t="s">
        <v>389</v>
      </c>
    </row>
    <row r="15">
      <c r="A15" s="22">
        <v>14.0</v>
      </c>
      <c r="B15" s="98" t="s">
        <v>303</v>
      </c>
      <c r="C15" s="83" t="s">
        <v>362</v>
      </c>
      <c r="D15" s="86" t="s">
        <v>364</v>
      </c>
      <c r="E15" s="37" t="str">
        <f t="shared" si="1"/>
        <v>ร.อ.หญิง กฤตยา แก้วเรียน</v>
      </c>
      <c r="F15" s="98" t="s">
        <v>115</v>
      </c>
      <c r="G15" s="83" t="s">
        <v>369</v>
      </c>
      <c r="H15" s="86" t="s">
        <v>370</v>
      </c>
      <c r="I15" s="20">
        <v>6.61105132E9</v>
      </c>
      <c r="J15" s="20">
        <v>1.103701441259E12</v>
      </c>
      <c r="K15" s="87" t="s">
        <v>240</v>
      </c>
      <c r="L15" s="86" t="s">
        <v>83</v>
      </c>
      <c r="M15" s="41" t="s">
        <v>356</v>
      </c>
      <c r="N15" s="39" t="s">
        <v>72</v>
      </c>
      <c r="O15" s="20" t="s">
        <v>27</v>
      </c>
      <c r="P15" s="95">
        <v>8.19797451E8</v>
      </c>
      <c r="Q15" s="88"/>
      <c r="R15" s="45" t="s">
        <v>31</v>
      </c>
      <c r="S15" s="89"/>
      <c r="T15" s="66" t="s">
        <v>396</v>
      </c>
      <c r="U15" s="53">
        <v>34563.0</v>
      </c>
      <c r="V15" s="31" t="s">
        <v>77</v>
      </c>
      <c r="W15" s="55">
        <f t="shared" si="2"/>
        <v>32</v>
      </c>
      <c r="X15" s="55" t="s">
        <v>229</v>
      </c>
      <c r="Y15" s="55" t="s">
        <v>99</v>
      </c>
      <c r="Z15" s="58" t="s">
        <v>401</v>
      </c>
      <c r="AA15" s="58" t="s">
        <v>402</v>
      </c>
      <c r="AB15" s="58" t="s">
        <v>403</v>
      </c>
      <c r="AC15" s="55"/>
      <c r="AD15" s="55" t="s">
        <v>404</v>
      </c>
      <c r="AE15" s="55" t="s">
        <v>405</v>
      </c>
    </row>
    <row r="16">
      <c r="A16" s="22">
        <v>15.0</v>
      </c>
      <c r="B16" s="24" t="s">
        <v>106</v>
      </c>
      <c r="C16" s="26" t="s">
        <v>406</v>
      </c>
      <c r="D16" s="29" t="s">
        <v>407</v>
      </c>
      <c r="E16" s="37" t="str">
        <f t="shared" si="1"/>
        <v>จ.ส.อ. สุเทพ พะเวก</v>
      </c>
      <c r="F16" s="24" t="s">
        <v>111</v>
      </c>
      <c r="G16" s="26" t="s">
        <v>408</v>
      </c>
      <c r="H16" s="29" t="s">
        <v>409</v>
      </c>
      <c r="I16" s="39">
        <v>1.384900323E9</v>
      </c>
      <c r="J16" s="39">
        <v>3.7007003462E12</v>
      </c>
      <c r="K16" s="40" t="s">
        <v>412</v>
      </c>
      <c r="L16" s="79" t="s">
        <v>415</v>
      </c>
      <c r="M16" s="41" t="s">
        <v>417</v>
      </c>
      <c r="N16" s="39" t="s">
        <v>72</v>
      </c>
      <c r="O16" s="39" t="s">
        <v>73</v>
      </c>
      <c r="P16" s="105">
        <v>8.59333922E8</v>
      </c>
      <c r="Q16" s="106"/>
      <c r="R16" s="45" t="s">
        <v>31</v>
      </c>
      <c r="S16" s="107"/>
      <c r="T16" s="66" t="s">
        <v>423</v>
      </c>
      <c r="U16" s="53">
        <v>27817.0</v>
      </c>
      <c r="V16" s="31" t="s">
        <v>77</v>
      </c>
      <c r="W16" s="55">
        <f t="shared" si="2"/>
        <v>50</v>
      </c>
      <c r="X16" s="55" t="s">
        <v>98</v>
      </c>
      <c r="Y16" s="55" t="s">
        <v>428</v>
      </c>
      <c r="Z16" s="55" t="s">
        <v>430</v>
      </c>
      <c r="AA16" s="114" t="s">
        <v>432</v>
      </c>
      <c r="AB16" s="58" t="s">
        <v>433</v>
      </c>
      <c r="AC16" s="55"/>
      <c r="AD16" s="55" t="s">
        <v>435</v>
      </c>
      <c r="AE16" s="55" t="s">
        <v>437</v>
      </c>
    </row>
    <row r="17">
      <c r="A17" s="22">
        <v>16.0</v>
      </c>
      <c r="B17" s="98" t="s">
        <v>106</v>
      </c>
      <c r="C17" s="26" t="s">
        <v>438</v>
      </c>
      <c r="D17" s="29" t="s">
        <v>440</v>
      </c>
      <c r="E17" s="37" t="str">
        <f t="shared" si="1"/>
        <v>จ.ส.อ. ชัยภัทร ทำทวี</v>
      </c>
      <c r="F17" s="98" t="s">
        <v>111</v>
      </c>
      <c r="G17" s="26" t="s">
        <v>442</v>
      </c>
      <c r="H17" s="29" t="s">
        <v>443</v>
      </c>
      <c r="I17" s="39">
        <v>1.522801609E9</v>
      </c>
      <c r="J17" s="39">
        <v>1.310400120475E12</v>
      </c>
      <c r="K17" s="40" t="s">
        <v>446</v>
      </c>
      <c r="L17" s="29" t="s">
        <v>447</v>
      </c>
      <c r="M17" s="41" t="s">
        <v>448</v>
      </c>
      <c r="N17" s="39" t="s">
        <v>85</v>
      </c>
      <c r="O17" s="39" t="s">
        <v>73</v>
      </c>
      <c r="P17" s="117" t="s">
        <v>449</v>
      </c>
      <c r="Q17" s="43"/>
      <c r="R17" s="45" t="s">
        <v>31</v>
      </c>
      <c r="S17" s="46"/>
      <c r="T17" s="66" t="s">
        <v>450</v>
      </c>
      <c r="U17" s="53">
        <v>32173.0</v>
      </c>
      <c r="V17" s="31" t="s">
        <v>77</v>
      </c>
      <c r="W17" s="55">
        <f t="shared" si="2"/>
        <v>38</v>
      </c>
      <c r="X17" s="55" t="s">
        <v>98</v>
      </c>
      <c r="Y17" s="55" t="s">
        <v>428</v>
      </c>
      <c r="Z17" s="55" t="s">
        <v>451</v>
      </c>
      <c r="AA17" s="58" t="s">
        <v>452</v>
      </c>
      <c r="AB17" s="58" t="s">
        <v>453</v>
      </c>
      <c r="AC17" s="55"/>
      <c r="AD17" s="55" t="s">
        <v>454</v>
      </c>
      <c r="AE17" s="55" t="s">
        <v>456</v>
      </c>
    </row>
    <row r="18">
      <c r="A18" s="22">
        <v>17.0</v>
      </c>
      <c r="B18" s="24" t="s">
        <v>457</v>
      </c>
      <c r="C18" s="26" t="s">
        <v>459</v>
      </c>
      <c r="D18" s="29" t="s">
        <v>461</v>
      </c>
      <c r="E18" s="37" t="str">
        <f t="shared" si="1"/>
        <v>ส.ต.หญิง นรารัตน์ พวงนวม</v>
      </c>
      <c r="F18" s="24" t="s">
        <v>462</v>
      </c>
      <c r="G18" s="26" t="s">
        <v>464</v>
      </c>
      <c r="H18" s="29" t="s">
        <v>465</v>
      </c>
      <c r="I18" s="39">
        <v>6.661011454E9</v>
      </c>
      <c r="J18" s="39">
        <v>2.709900020201E12</v>
      </c>
      <c r="K18" s="40" t="s">
        <v>468</v>
      </c>
      <c r="L18" s="29" t="s">
        <v>470</v>
      </c>
      <c r="M18" s="41" t="s">
        <v>471</v>
      </c>
      <c r="N18" s="39" t="s">
        <v>85</v>
      </c>
      <c r="O18" s="39" t="s">
        <v>73</v>
      </c>
      <c r="P18" s="42">
        <v>6.34968549E8</v>
      </c>
      <c r="Q18" s="43"/>
      <c r="R18" s="45" t="s">
        <v>31</v>
      </c>
      <c r="S18" s="46"/>
      <c r="T18" s="66" t="s">
        <v>476</v>
      </c>
      <c r="U18" s="57">
        <v>33379.0</v>
      </c>
      <c r="V18" s="31" t="s">
        <v>77</v>
      </c>
      <c r="W18" s="55">
        <f t="shared" si="2"/>
        <v>35</v>
      </c>
      <c r="X18" s="55" t="s">
        <v>229</v>
      </c>
      <c r="Y18" s="55" t="s">
        <v>428</v>
      </c>
      <c r="Z18" s="55" t="s">
        <v>480</v>
      </c>
      <c r="AA18" s="58" t="s">
        <v>481</v>
      </c>
      <c r="AB18" s="58" t="s">
        <v>482</v>
      </c>
      <c r="AC18" s="55"/>
      <c r="AD18" s="55" t="s">
        <v>483</v>
      </c>
      <c r="AE18" s="55" t="s">
        <v>484</v>
      </c>
    </row>
    <row r="19">
      <c r="A19" s="22">
        <v>18.0</v>
      </c>
      <c r="B19" s="24" t="s">
        <v>106</v>
      </c>
      <c r="C19" s="26" t="s">
        <v>485</v>
      </c>
      <c r="D19" s="29" t="s">
        <v>486</v>
      </c>
      <c r="E19" s="37" t="str">
        <f t="shared" si="1"/>
        <v>จ.ส.อ. ศักดิ์ดา วลัยศรี</v>
      </c>
      <c r="F19" s="24" t="s">
        <v>111</v>
      </c>
      <c r="G19" s="26" t="s">
        <v>487</v>
      </c>
      <c r="H19" s="29" t="s">
        <v>488</v>
      </c>
      <c r="I19" s="39">
        <v>1.530300474E9</v>
      </c>
      <c r="J19" s="39">
        <v>1.460500137158E12</v>
      </c>
      <c r="K19" s="40" t="s">
        <v>489</v>
      </c>
      <c r="L19" s="29" t="s">
        <v>490</v>
      </c>
      <c r="M19" s="41" t="s">
        <v>448</v>
      </c>
      <c r="N19" s="39" t="s">
        <v>188</v>
      </c>
      <c r="O19" s="39" t="s">
        <v>73</v>
      </c>
      <c r="P19" s="42">
        <v>8.31551644E8</v>
      </c>
      <c r="Q19" s="43"/>
      <c r="R19" s="45" t="s">
        <v>31</v>
      </c>
      <c r="S19" s="46"/>
      <c r="T19" s="66" t="s">
        <v>491</v>
      </c>
      <c r="U19" s="57">
        <v>32719.0</v>
      </c>
      <c r="V19" s="31" t="s">
        <v>77</v>
      </c>
      <c r="W19" s="55">
        <f t="shared" si="2"/>
        <v>37</v>
      </c>
      <c r="X19" s="55" t="s">
        <v>98</v>
      </c>
      <c r="Y19" s="55" t="s">
        <v>428</v>
      </c>
      <c r="Z19" s="55" t="s">
        <v>506</v>
      </c>
      <c r="AA19" s="58" t="s">
        <v>507</v>
      </c>
      <c r="AB19" s="58" t="s">
        <v>508</v>
      </c>
      <c r="AC19" s="55"/>
      <c r="AD19" s="55" t="s">
        <v>509</v>
      </c>
      <c r="AE19" s="55" t="s">
        <v>510</v>
      </c>
    </row>
    <row r="20">
      <c r="A20" s="22">
        <v>19.0</v>
      </c>
      <c r="B20" s="24" t="s">
        <v>349</v>
      </c>
      <c r="C20" s="26" t="s">
        <v>511</v>
      </c>
      <c r="D20" s="29" t="s">
        <v>512</v>
      </c>
      <c r="E20" s="37" t="str">
        <f t="shared" si="1"/>
        <v>ส.อ. ธีรัช วันดี</v>
      </c>
      <c r="F20" s="24" t="s">
        <v>353</v>
      </c>
      <c r="G20" s="26" t="s">
        <v>514</v>
      </c>
      <c r="H20" s="29" t="s">
        <v>515</v>
      </c>
      <c r="I20" s="39">
        <v>1.603300739E9</v>
      </c>
      <c r="J20" s="39">
        <v>1.100702368188E12</v>
      </c>
      <c r="K20" s="40" t="s">
        <v>516</v>
      </c>
      <c r="L20" s="29" t="s">
        <v>517</v>
      </c>
      <c r="M20" s="41" t="s">
        <v>518</v>
      </c>
      <c r="N20" s="39" t="s">
        <v>72</v>
      </c>
      <c r="O20" s="39" t="s">
        <v>73</v>
      </c>
      <c r="P20" s="42">
        <v>9.56199036E8</v>
      </c>
      <c r="Q20" s="43"/>
      <c r="R20" s="45" t="s">
        <v>31</v>
      </c>
      <c r="S20" s="46"/>
      <c r="T20" s="66" t="s">
        <v>519</v>
      </c>
      <c r="U20" s="53">
        <v>35290.0</v>
      </c>
      <c r="V20" s="31" t="s">
        <v>77</v>
      </c>
      <c r="W20" s="55">
        <f t="shared" si="2"/>
        <v>30</v>
      </c>
      <c r="X20" s="55" t="s">
        <v>98</v>
      </c>
      <c r="Y20" s="55" t="s">
        <v>428</v>
      </c>
      <c r="Z20" s="55" t="s">
        <v>527</v>
      </c>
      <c r="AA20" s="55"/>
      <c r="AB20" s="55"/>
      <c r="AC20" s="55"/>
      <c r="AD20" s="55" t="s">
        <v>528</v>
      </c>
      <c r="AE20" s="55" t="s">
        <v>529</v>
      </c>
    </row>
    <row r="21">
      <c r="A21" s="22">
        <v>20.0</v>
      </c>
      <c r="B21" s="24" t="s">
        <v>106</v>
      </c>
      <c r="C21" s="26" t="s">
        <v>531</v>
      </c>
      <c r="D21" s="29" t="s">
        <v>532</v>
      </c>
      <c r="E21" s="37" t="str">
        <f t="shared" si="1"/>
        <v>จ.ส.อ. ฐิติวุฒิ ถมยา</v>
      </c>
      <c r="F21" s="24" t="s">
        <v>111</v>
      </c>
      <c r="G21" s="26" t="s">
        <v>535</v>
      </c>
      <c r="H21" s="29" t="s">
        <v>536</v>
      </c>
      <c r="I21" s="39">
        <v>1.353900699E9</v>
      </c>
      <c r="J21" s="39">
        <v>3.760500363879E12</v>
      </c>
      <c r="K21" s="40" t="s">
        <v>537</v>
      </c>
      <c r="L21" s="29" t="s">
        <v>538</v>
      </c>
      <c r="M21" s="41" t="s">
        <v>540</v>
      </c>
      <c r="N21" s="39" t="s">
        <v>85</v>
      </c>
      <c r="O21" s="39" t="s">
        <v>73</v>
      </c>
      <c r="P21" s="67">
        <v>9.96825143E8</v>
      </c>
      <c r="Q21" s="43"/>
      <c r="R21" s="45" t="s">
        <v>31</v>
      </c>
      <c r="S21" s="46"/>
      <c r="T21" s="66" t="s">
        <v>543</v>
      </c>
      <c r="U21" s="57">
        <v>26919.0</v>
      </c>
      <c r="V21" s="31" t="s">
        <v>77</v>
      </c>
      <c r="W21" s="55">
        <f t="shared" si="2"/>
        <v>53</v>
      </c>
      <c r="X21" s="55" t="s">
        <v>98</v>
      </c>
      <c r="Y21" s="55" t="s">
        <v>428</v>
      </c>
      <c r="Z21" s="55" t="s">
        <v>546</v>
      </c>
      <c r="AA21" s="58" t="s">
        <v>547</v>
      </c>
      <c r="AB21" s="58" t="s">
        <v>548</v>
      </c>
      <c r="AC21" s="55"/>
      <c r="AD21" s="55" t="s">
        <v>549</v>
      </c>
      <c r="AE21" s="55" t="s">
        <v>550</v>
      </c>
    </row>
    <row r="22">
      <c r="A22" s="22">
        <v>21.0</v>
      </c>
      <c r="B22" s="24" t="s">
        <v>552</v>
      </c>
      <c r="C22" s="26" t="s">
        <v>553</v>
      </c>
      <c r="D22" s="29" t="s">
        <v>555</v>
      </c>
      <c r="E22" s="37" t="str">
        <f t="shared" si="1"/>
        <v>ส.อ.หญิง ญาณกร สุรารักษ์</v>
      </c>
      <c r="F22" s="24" t="s">
        <v>353</v>
      </c>
      <c r="G22" s="26" t="s">
        <v>557</v>
      </c>
      <c r="H22" s="29" t="s">
        <v>558</v>
      </c>
      <c r="I22" s="39">
        <v>6.601011451E9</v>
      </c>
      <c r="J22" s="39">
        <v>1.709900887133E12</v>
      </c>
      <c r="K22" s="40" t="s">
        <v>559</v>
      </c>
      <c r="L22" s="29" t="s">
        <v>561</v>
      </c>
      <c r="M22" s="41" t="s">
        <v>563</v>
      </c>
      <c r="N22" s="39" t="s">
        <v>72</v>
      </c>
      <c r="O22" s="39" t="s">
        <v>73</v>
      </c>
      <c r="P22" s="42">
        <v>6.56380699E8</v>
      </c>
      <c r="Q22" s="43"/>
      <c r="R22" s="45" t="s">
        <v>31</v>
      </c>
      <c r="S22" s="46"/>
      <c r="T22" s="66" t="s">
        <v>565</v>
      </c>
      <c r="U22" s="53">
        <v>34480.0</v>
      </c>
      <c r="V22" s="31" t="s">
        <v>77</v>
      </c>
      <c r="W22" s="55">
        <f t="shared" si="2"/>
        <v>32</v>
      </c>
      <c r="X22" s="55" t="s">
        <v>229</v>
      </c>
      <c r="Y22" s="55" t="s">
        <v>428</v>
      </c>
      <c r="Z22" s="55" t="s">
        <v>571</v>
      </c>
      <c r="AA22" s="58" t="s">
        <v>572</v>
      </c>
      <c r="AB22" s="58" t="s">
        <v>573</v>
      </c>
      <c r="AC22" s="55"/>
      <c r="AD22" s="55" t="s">
        <v>574</v>
      </c>
      <c r="AE22" s="55" t="s">
        <v>575</v>
      </c>
    </row>
    <row r="23">
      <c r="A23" s="22">
        <v>22.0</v>
      </c>
      <c r="B23" s="24" t="s">
        <v>349</v>
      </c>
      <c r="C23" s="26" t="s">
        <v>577</v>
      </c>
      <c r="D23" s="29" t="s">
        <v>578</v>
      </c>
      <c r="E23" s="37" t="str">
        <f t="shared" si="1"/>
        <v>ส.อ. จิรวัฒน์ แตงจั่น</v>
      </c>
      <c r="F23" s="24" t="s">
        <v>353</v>
      </c>
      <c r="G23" s="26" t="s">
        <v>579</v>
      </c>
      <c r="H23" s="29" t="s">
        <v>580</v>
      </c>
      <c r="I23" s="39">
        <v>1.611900023E9</v>
      </c>
      <c r="J23" s="39">
        <v>1.739901860239E12</v>
      </c>
      <c r="K23" s="40" t="s">
        <v>582</v>
      </c>
      <c r="L23" s="29" t="s">
        <v>583</v>
      </c>
      <c r="M23" s="41" t="s">
        <v>473</v>
      </c>
      <c r="N23" s="39" t="s">
        <v>85</v>
      </c>
      <c r="O23" s="39" t="s">
        <v>73</v>
      </c>
      <c r="P23" s="42">
        <v>8.23618989E8</v>
      </c>
      <c r="Q23" s="43"/>
      <c r="R23" s="45" t="s">
        <v>31</v>
      </c>
      <c r="S23" s="46"/>
      <c r="T23" s="66" t="s">
        <v>585</v>
      </c>
      <c r="U23" s="53">
        <v>36508.0</v>
      </c>
      <c r="V23" s="31" t="s">
        <v>77</v>
      </c>
      <c r="W23" s="55">
        <f t="shared" si="2"/>
        <v>26</v>
      </c>
      <c r="X23" s="55" t="s">
        <v>98</v>
      </c>
      <c r="Y23" s="55" t="s">
        <v>428</v>
      </c>
      <c r="Z23" s="55" t="s">
        <v>595</v>
      </c>
      <c r="AA23" s="58" t="s">
        <v>596</v>
      </c>
      <c r="AB23" s="58" t="s">
        <v>597</v>
      </c>
      <c r="AC23" s="55"/>
      <c r="AD23" s="55" t="s">
        <v>598</v>
      </c>
      <c r="AE23" s="55" t="s">
        <v>599</v>
      </c>
    </row>
    <row r="24">
      <c r="A24" s="22">
        <v>23.0</v>
      </c>
      <c r="B24" s="24" t="s">
        <v>600</v>
      </c>
      <c r="C24" s="26" t="s">
        <v>601</v>
      </c>
      <c r="D24" s="29" t="s">
        <v>602</v>
      </c>
      <c r="E24" s="37" t="str">
        <f t="shared" si="1"/>
        <v>ส.ท.หญิง วรวรรณ ฐานะ</v>
      </c>
      <c r="F24" s="24" t="s">
        <v>603</v>
      </c>
      <c r="G24" s="26" t="s">
        <v>604</v>
      </c>
      <c r="H24" s="29" t="s">
        <v>605</v>
      </c>
      <c r="I24" s="39">
        <v>6.621011452E9</v>
      </c>
      <c r="J24" s="39">
        <v>1.459900553751E12</v>
      </c>
      <c r="K24" s="40" t="s">
        <v>606</v>
      </c>
      <c r="L24" s="29" t="s">
        <v>561</v>
      </c>
      <c r="M24" s="41" t="s">
        <v>607</v>
      </c>
      <c r="N24" s="39" t="s">
        <v>72</v>
      </c>
      <c r="O24" s="39" t="s">
        <v>73</v>
      </c>
      <c r="P24" s="42">
        <v>9.71758084E8</v>
      </c>
      <c r="Q24" s="43"/>
      <c r="R24" s="45" t="s">
        <v>31</v>
      </c>
      <c r="S24" s="46"/>
      <c r="T24" s="66" t="s">
        <v>608</v>
      </c>
      <c r="U24" s="53">
        <v>35219.0</v>
      </c>
      <c r="V24" s="31" t="s">
        <v>77</v>
      </c>
      <c r="W24" s="55">
        <f t="shared" si="2"/>
        <v>30</v>
      </c>
      <c r="X24" s="55" t="s">
        <v>229</v>
      </c>
      <c r="Y24" s="55" t="s">
        <v>428</v>
      </c>
      <c r="Z24" s="55" t="s">
        <v>622</v>
      </c>
      <c r="AA24" s="58" t="s">
        <v>623</v>
      </c>
      <c r="AB24" s="58" t="s">
        <v>624</v>
      </c>
      <c r="AC24" s="55"/>
      <c r="AD24" s="55" t="s">
        <v>625</v>
      </c>
      <c r="AE24" s="55" t="s">
        <v>627</v>
      </c>
    </row>
    <row r="25">
      <c r="A25" s="22">
        <v>24.0</v>
      </c>
      <c r="B25" s="63" t="s">
        <v>457</v>
      </c>
      <c r="C25" s="35" t="s">
        <v>628</v>
      </c>
      <c r="D25" s="36" t="s">
        <v>630</v>
      </c>
      <c r="E25" s="37" t="str">
        <f t="shared" si="1"/>
        <v>ส.ต.หญิง ณิชากร ล้ำสุขดี</v>
      </c>
      <c r="F25" s="63" t="s">
        <v>462</v>
      </c>
      <c r="G25" s="35" t="s">
        <v>632</v>
      </c>
      <c r="H25" s="36" t="s">
        <v>633</v>
      </c>
      <c r="I25" s="48">
        <v>6.661011452E9</v>
      </c>
      <c r="J25" s="48">
        <v>1.300201239677E12</v>
      </c>
      <c r="K25" s="137" t="s">
        <v>634</v>
      </c>
      <c r="L25" s="36" t="s">
        <v>538</v>
      </c>
      <c r="M25" s="41" t="s">
        <v>636</v>
      </c>
      <c r="N25" s="48" t="s">
        <v>155</v>
      </c>
      <c r="O25" s="39" t="s">
        <v>73</v>
      </c>
      <c r="P25" s="42">
        <v>9.71433535E8</v>
      </c>
      <c r="Q25" s="43"/>
      <c r="R25" s="45" t="s">
        <v>31</v>
      </c>
      <c r="S25" s="46"/>
      <c r="T25" s="66" t="s">
        <v>637</v>
      </c>
      <c r="U25" s="53">
        <v>36360.0</v>
      </c>
      <c r="V25" s="31" t="s">
        <v>77</v>
      </c>
      <c r="W25" s="55">
        <f t="shared" si="2"/>
        <v>27</v>
      </c>
      <c r="X25" s="55" t="s">
        <v>229</v>
      </c>
      <c r="Y25" s="55" t="s">
        <v>428</v>
      </c>
      <c r="Z25" s="55" t="s">
        <v>640</v>
      </c>
      <c r="AA25" s="58" t="s">
        <v>641</v>
      </c>
      <c r="AB25" s="58" t="s">
        <v>642</v>
      </c>
      <c r="AC25" s="55"/>
      <c r="AD25" s="55" t="s">
        <v>643</v>
      </c>
      <c r="AE25" s="55" t="s">
        <v>645</v>
      </c>
    </row>
    <row r="26">
      <c r="A26" s="22">
        <v>25.0</v>
      </c>
      <c r="B26" s="63" t="s">
        <v>552</v>
      </c>
      <c r="C26" s="35" t="s">
        <v>647</v>
      </c>
      <c r="D26" s="36" t="s">
        <v>648</v>
      </c>
      <c r="E26" s="37" t="str">
        <f t="shared" si="1"/>
        <v>ส.อ.หญิง ณิชา โพธิเงิน</v>
      </c>
      <c r="F26" s="63" t="s">
        <v>353</v>
      </c>
      <c r="G26" s="35" t="s">
        <v>653</v>
      </c>
      <c r="H26" s="36" t="s">
        <v>654</v>
      </c>
      <c r="I26" s="48">
        <v>6.611010496E9</v>
      </c>
      <c r="J26" s="48">
        <v>1.709901260673E12</v>
      </c>
      <c r="K26" s="137" t="s">
        <v>655</v>
      </c>
      <c r="L26" s="36" t="s">
        <v>657</v>
      </c>
      <c r="M26" s="41" t="s">
        <v>658</v>
      </c>
      <c r="N26" s="48" t="s">
        <v>85</v>
      </c>
      <c r="O26" s="39" t="s">
        <v>73</v>
      </c>
      <c r="P26" s="42">
        <v>6.25742139E8</v>
      </c>
      <c r="Q26" s="43"/>
      <c r="R26" s="45" t="s">
        <v>31</v>
      </c>
      <c r="S26" s="46"/>
      <c r="T26" s="66" t="s">
        <v>663</v>
      </c>
      <c r="U26" s="53">
        <v>36259.0</v>
      </c>
      <c r="V26" s="31" t="s">
        <v>77</v>
      </c>
      <c r="W26" s="55">
        <f t="shared" si="2"/>
        <v>27</v>
      </c>
      <c r="X26" s="55" t="s">
        <v>229</v>
      </c>
      <c r="Y26" s="55" t="s">
        <v>428</v>
      </c>
      <c r="Z26" s="55" t="s">
        <v>85</v>
      </c>
      <c r="AA26" s="58" t="s">
        <v>669</v>
      </c>
      <c r="AB26" s="58" t="s">
        <v>670</v>
      </c>
      <c r="AC26" s="55"/>
      <c r="AD26" s="55" t="s">
        <v>671</v>
      </c>
      <c r="AE26" s="55" t="s">
        <v>672</v>
      </c>
    </row>
    <row r="27">
      <c r="A27" s="22">
        <v>26.0</v>
      </c>
      <c r="B27" s="24" t="s">
        <v>349</v>
      </c>
      <c r="C27" s="26" t="s">
        <v>673</v>
      </c>
      <c r="D27" s="29" t="s">
        <v>674</v>
      </c>
      <c r="E27" s="37" t="str">
        <f t="shared" si="1"/>
        <v>ส.อ. อัครพงศ์ ศิลปกิจ</v>
      </c>
      <c r="F27" s="24" t="s">
        <v>353</v>
      </c>
      <c r="G27" s="26" t="s">
        <v>675</v>
      </c>
      <c r="H27" s="29" t="s">
        <v>676</v>
      </c>
      <c r="I27" s="39">
        <v>1.604900079E9</v>
      </c>
      <c r="J27" s="39">
        <v>1.730600149988E12</v>
      </c>
      <c r="K27" s="40" t="s">
        <v>677</v>
      </c>
      <c r="L27" s="29" t="s">
        <v>678</v>
      </c>
      <c r="M27" s="41" t="s">
        <v>658</v>
      </c>
      <c r="N27" s="39" t="s">
        <v>188</v>
      </c>
      <c r="O27" s="39" t="s">
        <v>73</v>
      </c>
      <c r="P27" s="42">
        <v>6.45617274E8</v>
      </c>
      <c r="Q27" s="43"/>
      <c r="R27" s="45" t="s">
        <v>31</v>
      </c>
      <c r="S27" s="46"/>
      <c r="T27" s="66" t="s">
        <v>679</v>
      </c>
      <c r="U27" s="57">
        <v>35200.0</v>
      </c>
      <c r="V27" s="31" t="s">
        <v>77</v>
      </c>
      <c r="W27" s="55">
        <f t="shared" si="2"/>
        <v>30</v>
      </c>
      <c r="X27" s="55" t="s">
        <v>98</v>
      </c>
      <c r="Y27" s="55" t="s">
        <v>428</v>
      </c>
      <c r="Z27" s="55" t="s">
        <v>689</v>
      </c>
      <c r="AA27" s="58" t="s">
        <v>690</v>
      </c>
      <c r="AB27" s="58" t="s">
        <v>691</v>
      </c>
      <c r="AC27" s="55"/>
      <c r="AD27" s="55" t="s">
        <v>692</v>
      </c>
      <c r="AE27" s="55" t="s">
        <v>693</v>
      </c>
    </row>
    <row r="28">
      <c r="A28" s="22">
        <v>27.0</v>
      </c>
      <c r="B28" s="34" t="s">
        <v>457</v>
      </c>
      <c r="C28" s="35" t="s">
        <v>698</v>
      </c>
      <c r="D28" s="36" t="s">
        <v>699</v>
      </c>
      <c r="E28" s="37" t="str">
        <f t="shared" si="1"/>
        <v>ส.ต.หญิง ณัฐกมล มงคล</v>
      </c>
      <c r="F28" s="63" t="s">
        <v>462</v>
      </c>
      <c r="G28" s="35" t="s">
        <v>701</v>
      </c>
      <c r="H28" s="36" t="s">
        <v>702</v>
      </c>
      <c r="I28" s="48">
        <v>6.661011453E9</v>
      </c>
      <c r="J28" s="156">
        <v>1.930200085085E12</v>
      </c>
      <c r="K28" s="137" t="s">
        <v>677</v>
      </c>
      <c r="L28" s="36" t="s">
        <v>591</v>
      </c>
      <c r="M28" s="41" t="s">
        <v>636</v>
      </c>
      <c r="N28" s="48" t="s">
        <v>155</v>
      </c>
      <c r="O28" s="39" t="s">
        <v>73</v>
      </c>
      <c r="P28" s="42">
        <v>8.63600223E8</v>
      </c>
      <c r="Q28" s="43"/>
      <c r="R28" s="45" t="s">
        <v>31</v>
      </c>
      <c r="S28" s="46"/>
      <c r="T28" s="66" t="s">
        <v>705</v>
      </c>
      <c r="U28" s="53">
        <v>35440.0</v>
      </c>
      <c r="V28" s="157" t="s">
        <v>203</v>
      </c>
      <c r="W28" s="55">
        <f t="shared" si="2"/>
        <v>29</v>
      </c>
      <c r="X28" s="55" t="s">
        <v>229</v>
      </c>
      <c r="Y28" s="55" t="s">
        <v>428</v>
      </c>
      <c r="Z28" s="55" t="s">
        <v>707</v>
      </c>
      <c r="AA28" s="58" t="s">
        <v>708</v>
      </c>
      <c r="AB28" s="58" t="s">
        <v>709</v>
      </c>
      <c r="AC28" s="55"/>
      <c r="AD28" s="55" t="s">
        <v>711</v>
      </c>
      <c r="AE28" s="55" t="s">
        <v>713</v>
      </c>
    </row>
    <row r="29">
      <c r="A29" s="22">
        <v>28.0</v>
      </c>
      <c r="B29" s="63" t="s">
        <v>552</v>
      </c>
      <c r="C29" s="35" t="s">
        <v>715</v>
      </c>
      <c r="D29" s="36" t="s">
        <v>717</v>
      </c>
      <c r="E29" s="37" t="str">
        <f t="shared" si="1"/>
        <v>ส.อ.หญิง เบญจมาส มหาชัย</v>
      </c>
      <c r="F29" s="63" t="s">
        <v>353</v>
      </c>
      <c r="G29" s="35" t="s">
        <v>719</v>
      </c>
      <c r="H29" s="36" t="s">
        <v>720</v>
      </c>
      <c r="I29" s="48">
        <v>6.591013547E9</v>
      </c>
      <c r="J29" s="48">
        <v>1.169800094005E12</v>
      </c>
      <c r="K29" s="137" t="s">
        <v>724</v>
      </c>
      <c r="L29" s="36" t="s">
        <v>726</v>
      </c>
      <c r="M29" s="41" t="s">
        <v>727</v>
      </c>
      <c r="N29" s="48" t="s">
        <v>155</v>
      </c>
      <c r="O29" s="39" t="s">
        <v>27</v>
      </c>
      <c r="P29" s="42">
        <v>6.46615596E8</v>
      </c>
      <c r="Q29" s="43"/>
      <c r="R29" s="45" t="s">
        <v>31</v>
      </c>
      <c r="S29" s="46"/>
      <c r="T29" s="66" t="s">
        <v>733</v>
      </c>
      <c r="U29" s="53">
        <v>32688.0</v>
      </c>
      <c r="V29" s="31" t="s">
        <v>77</v>
      </c>
      <c r="W29" s="55">
        <f t="shared" si="2"/>
        <v>37</v>
      </c>
      <c r="X29" s="55" t="s">
        <v>229</v>
      </c>
      <c r="Y29" s="55" t="s">
        <v>428</v>
      </c>
      <c r="Z29" s="55" t="s">
        <v>737</v>
      </c>
      <c r="AA29" s="58" t="s">
        <v>738</v>
      </c>
      <c r="AB29" s="58" t="s">
        <v>739</v>
      </c>
      <c r="AC29" s="55"/>
      <c r="AD29" s="55" t="s">
        <v>740</v>
      </c>
      <c r="AE29" s="55" t="s">
        <v>741</v>
      </c>
    </row>
    <row r="30">
      <c r="A30" s="22">
        <v>29.0</v>
      </c>
      <c r="B30" s="63" t="s">
        <v>552</v>
      </c>
      <c r="C30" s="35" t="s">
        <v>742</v>
      </c>
      <c r="D30" s="36" t="s">
        <v>743</v>
      </c>
      <c r="E30" s="37" t="str">
        <f t="shared" si="1"/>
        <v>ส.อ.หญิง อรพรรณ ทัพชัย</v>
      </c>
      <c r="F30" s="63" t="s">
        <v>353</v>
      </c>
      <c r="G30" s="35" t="s">
        <v>744</v>
      </c>
      <c r="H30" s="36" t="s">
        <v>745</v>
      </c>
      <c r="I30" s="48">
        <v>6.591010207E9</v>
      </c>
      <c r="J30" s="48">
        <v>1.101800203362E12</v>
      </c>
      <c r="K30" s="137" t="s">
        <v>724</v>
      </c>
      <c r="L30" s="36" t="s">
        <v>746</v>
      </c>
      <c r="M30" s="41" t="s">
        <v>747</v>
      </c>
      <c r="N30" s="48" t="s">
        <v>72</v>
      </c>
      <c r="O30" s="39" t="s">
        <v>246</v>
      </c>
      <c r="P30" s="42">
        <v>6.29569455E8</v>
      </c>
      <c r="Q30" s="43"/>
      <c r="R30" s="45" t="s">
        <v>31</v>
      </c>
      <c r="S30" s="46"/>
      <c r="T30" s="66" t="s">
        <v>748</v>
      </c>
      <c r="U30" s="53">
        <v>31679.0</v>
      </c>
      <c r="V30" s="31" t="s">
        <v>77</v>
      </c>
      <c r="W30" s="55">
        <f t="shared" si="2"/>
        <v>40</v>
      </c>
      <c r="X30" s="55" t="s">
        <v>229</v>
      </c>
      <c r="Y30" s="55" t="s">
        <v>428</v>
      </c>
      <c r="Z30" s="55" t="s">
        <v>85</v>
      </c>
      <c r="AA30" s="58" t="s">
        <v>763</v>
      </c>
      <c r="AB30" s="58" t="s">
        <v>764</v>
      </c>
      <c r="AC30" s="55"/>
      <c r="AD30" s="55" t="s">
        <v>765</v>
      </c>
      <c r="AE30" s="55" t="s">
        <v>766</v>
      </c>
    </row>
    <row r="31">
      <c r="A31" s="22">
        <v>30.0</v>
      </c>
      <c r="B31" s="98" t="s">
        <v>646</v>
      </c>
      <c r="C31" s="26" t="s">
        <v>767</v>
      </c>
      <c r="D31" s="29" t="s">
        <v>768</v>
      </c>
      <c r="E31" s="37" t="str">
        <f t="shared" si="1"/>
        <v>จ.ส.ต. พิภพ หนูผาสุข</v>
      </c>
      <c r="F31" s="98" t="s">
        <v>659</v>
      </c>
      <c r="G31" s="26" t="s">
        <v>775</v>
      </c>
      <c r="H31" s="29" t="s">
        <v>777</v>
      </c>
      <c r="I31" s="39">
        <v>1.554900518E9</v>
      </c>
      <c r="J31" s="39">
        <v>1.709900853298E12</v>
      </c>
      <c r="K31" s="40" t="s">
        <v>779</v>
      </c>
      <c r="L31" s="29" t="s">
        <v>780</v>
      </c>
      <c r="M31" s="41" t="s">
        <v>448</v>
      </c>
      <c r="N31" s="39" t="s">
        <v>155</v>
      </c>
      <c r="O31" s="39" t="s">
        <v>73</v>
      </c>
      <c r="P31" s="42">
        <v>6.49616294E8</v>
      </c>
      <c r="Q31" s="43"/>
      <c r="R31" s="45" t="s">
        <v>31</v>
      </c>
      <c r="S31" s="46"/>
      <c r="T31" s="66" t="s">
        <v>786</v>
      </c>
      <c r="U31" s="57">
        <v>34325.0</v>
      </c>
      <c r="V31" s="31" t="s">
        <v>77</v>
      </c>
      <c r="W31" s="55">
        <f t="shared" si="2"/>
        <v>32</v>
      </c>
      <c r="X31" s="55" t="s">
        <v>98</v>
      </c>
      <c r="Y31" s="55" t="s">
        <v>428</v>
      </c>
      <c r="Z31" s="55" t="s">
        <v>791</v>
      </c>
      <c r="AA31" s="114" t="s">
        <v>792</v>
      </c>
      <c r="AB31" s="58" t="s">
        <v>793</v>
      </c>
      <c r="AC31" s="55"/>
      <c r="AD31" s="55" t="s">
        <v>794</v>
      </c>
      <c r="AE31" s="55" t="s">
        <v>795</v>
      </c>
    </row>
    <row r="32">
      <c r="A32" s="22">
        <v>31.0</v>
      </c>
      <c r="B32" s="24" t="s">
        <v>135</v>
      </c>
      <c r="C32" s="26" t="s">
        <v>386</v>
      </c>
      <c r="D32" s="29" t="s">
        <v>388</v>
      </c>
      <c r="E32" s="37" t="str">
        <f t="shared" si="1"/>
        <v>ร.ท. จิรายุทธ แก้วยอด</v>
      </c>
      <c r="F32" s="24" t="s">
        <v>80</v>
      </c>
      <c r="G32" s="26" t="s">
        <v>390</v>
      </c>
      <c r="H32" s="29" t="s">
        <v>391</v>
      </c>
      <c r="I32" s="39">
        <v>1.594902216E9</v>
      </c>
      <c r="J32" s="39">
        <v>1.709901184721E12</v>
      </c>
      <c r="K32" s="40" t="s">
        <v>392</v>
      </c>
      <c r="L32" s="29" t="s">
        <v>393</v>
      </c>
      <c r="M32" s="41" t="s">
        <v>798</v>
      </c>
      <c r="N32" s="39" t="s">
        <v>155</v>
      </c>
      <c r="O32" s="39" t="s">
        <v>73</v>
      </c>
      <c r="P32" s="42">
        <v>9.55396359E8</v>
      </c>
      <c r="Q32" s="43"/>
      <c r="R32" s="45" t="s">
        <v>34</v>
      </c>
      <c r="S32" s="46"/>
      <c r="T32" s="66" t="s">
        <v>801</v>
      </c>
      <c r="U32" s="53">
        <v>35805.0</v>
      </c>
      <c r="V32" s="31" t="s">
        <v>77</v>
      </c>
      <c r="W32" s="55">
        <f t="shared" si="2"/>
        <v>28</v>
      </c>
      <c r="X32" s="55" t="s">
        <v>98</v>
      </c>
      <c r="Y32" s="55" t="s">
        <v>99</v>
      </c>
      <c r="Z32" s="55" t="s">
        <v>811</v>
      </c>
      <c r="AA32" s="55"/>
      <c r="AB32" s="55"/>
      <c r="AC32" s="55"/>
      <c r="AD32" s="55" t="s">
        <v>812</v>
      </c>
      <c r="AE32" s="55" t="s">
        <v>813</v>
      </c>
    </row>
    <row r="33">
      <c r="A33" s="22">
        <v>32.0</v>
      </c>
      <c r="B33" s="24" t="s">
        <v>106</v>
      </c>
      <c r="C33" s="26" t="s">
        <v>814</v>
      </c>
      <c r="D33" s="29" t="s">
        <v>815</v>
      </c>
      <c r="E33" s="37" t="str">
        <f t="shared" si="1"/>
        <v>จ.ส.อ. นุกูล ปิ่นแก้ว</v>
      </c>
      <c r="F33" s="24" t="s">
        <v>111</v>
      </c>
      <c r="G33" s="26" t="s">
        <v>816</v>
      </c>
      <c r="H33" s="29" t="s">
        <v>817</v>
      </c>
      <c r="I33" s="39">
        <v>1.373309575E9</v>
      </c>
      <c r="J33" s="39">
        <v>3.100203113776E12</v>
      </c>
      <c r="K33" s="40" t="s">
        <v>542</v>
      </c>
      <c r="L33" s="29" t="s">
        <v>819</v>
      </c>
      <c r="M33" s="41" t="s">
        <v>820</v>
      </c>
      <c r="N33" s="39" t="s">
        <v>72</v>
      </c>
      <c r="O33" s="39" t="s">
        <v>73</v>
      </c>
      <c r="P33" s="42">
        <v>8.0014655E8</v>
      </c>
      <c r="Q33" s="43"/>
      <c r="R33" s="45" t="s">
        <v>34</v>
      </c>
      <c r="S33" s="46"/>
      <c r="T33" s="66" t="s">
        <v>822</v>
      </c>
      <c r="U33" s="53">
        <v>27488.0</v>
      </c>
      <c r="V33" s="31" t="s">
        <v>77</v>
      </c>
      <c r="W33" s="55">
        <f t="shared" si="2"/>
        <v>51</v>
      </c>
      <c r="X33" s="55" t="s">
        <v>98</v>
      </c>
      <c r="Y33" s="55" t="s">
        <v>428</v>
      </c>
      <c r="Z33" s="55" t="s">
        <v>831</v>
      </c>
      <c r="AA33" s="114" t="s">
        <v>832</v>
      </c>
      <c r="AB33" s="58" t="s">
        <v>833</v>
      </c>
      <c r="AC33" s="55"/>
      <c r="AD33" s="55" t="s">
        <v>834</v>
      </c>
      <c r="AE33" s="55" t="s">
        <v>835</v>
      </c>
    </row>
    <row r="34">
      <c r="A34" s="22">
        <v>33.0</v>
      </c>
      <c r="B34" s="24" t="s">
        <v>106</v>
      </c>
      <c r="C34" s="26" t="s">
        <v>837</v>
      </c>
      <c r="D34" s="29" t="s">
        <v>838</v>
      </c>
      <c r="E34" s="37" t="str">
        <f t="shared" si="1"/>
        <v>จ.ส.อ. สุวิทย์ ชัยโย</v>
      </c>
      <c r="F34" s="24" t="s">
        <v>111</v>
      </c>
      <c r="G34" s="26" t="s">
        <v>839</v>
      </c>
      <c r="H34" s="29" t="s">
        <v>840</v>
      </c>
      <c r="I34" s="39">
        <v>1.464900581E9</v>
      </c>
      <c r="J34" s="39">
        <v>1.700790002762E12</v>
      </c>
      <c r="K34" s="40" t="s">
        <v>841</v>
      </c>
      <c r="L34" s="29" t="s">
        <v>842</v>
      </c>
      <c r="M34" s="41" t="s">
        <v>843</v>
      </c>
      <c r="N34" s="39" t="s">
        <v>188</v>
      </c>
      <c r="O34" s="39" t="s">
        <v>73</v>
      </c>
      <c r="P34" s="42">
        <v>8.38313881E8</v>
      </c>
      <c r="Q34" s="43"/>
      <c r="R34" s="45" t="s">
        <v>34</v>
      </c>
      <c r="S34" s="46"/>
      <c r="T34" s="66" t="s">
        <v>844</v>
      </c>
      <c r="U34" s="53">
        <v>31288.0</v>
      </c>
      <c r="V34" s="31" t="s">
        <v>77</v>
      </c>
      <c r="W34" s="55">
        <f t="shared" si="2"/>
        <v>41</v>
      </c>
      <c r="X34" s="55" t="s">
        <v>98</v>
      </c>
      <c r="Y34" s="55" t="s">
        <v>428</v>
      </c>
      <c r="Z34" s="55" t="s">
        <v>847</v>
      </c>
      <c r="AA34" s="58" t="s">
        <v>848</v>
      </c>
      <c r="AB34" s="58" t="s">
        <v>849</v>
      </c>
      <c r="AC34" s="55"/>
      <c r="AD34" s="55" t="s">
        <v>850</v>
      </c>
      <c r="AE34" s="55" t="s">
        <v>851</v>
      </c>
    </row>
    <row r="35">
      <c r="A35" s="22">
        <v>34.0</v>
      </c>
      <c r="B35" s="24" t="s">
        <v>349</v>
      </c>
      <c r="C35" s="26" t="s">
        <v>853</v>
      </c>
      <c r="D35" s="29" t="s">
        <v>854</v>
      </c>
      <c r="E35" s="37" t="str">
        <f t="shared" si="1"/>
        <v>ส.อ. ภูมิพัฒน์ สว่างแจ้ง</v>
      </c>
      <c r="F35" s="24" t="s">
        <v>353</v>
      </c>
      <c r="G35" s="26" t="s">
        <v>857</v>
      </c>
      <c r="H35" s="29" t="s">
        <v>859</v>
      </c>
      <c r="I35" s="39">
        <v>1.626000001E9</v>
      </c>
      <c r="J35" s="39">
        <v>1.759900368659E12</v>
      </c>
      <c r="K35" s="40" t="s">
        <v>861</v>
      </c>
      <c r="L35" s="29" t="s">
        <v>862</v>
      </c>
      <c r="M35" s="41" t="s">
        <v>473</v>
      </c>
      <c r="N35" s="39" t="s">
        <v>72</v>
      </c>
      <c r="O35" s="39" t="s">
        <v>73</v>
      </c>
      <c r="P35" s="42">
        <v>9.26603184E8</v>
      </c>
      <c r="Q35" s="43"/>
      <c r="R35" s="45" t="s">
        <v>34</v>
      </c>
      <c r="S35" s="46"/>
      <c r="T35" s="66" t="s">
        <v>865</v>
      </c>
      <c r="U35" s="57">
        <v>36656.0</v>
      </c>
      <c r="V35" s="31" t="s">
        <v>77</v>
      </c>
      <c r="W35" s="55">
        <f t="shared" si="2"/>
        <v>26</v>
      </c>
      <c r="X35" s="55" t="s">
        <v>98</v>
      </c>
      <c r="Y35" s="55" t="s">
        <v>428</v>
      </c>
      <c r="Z35" s="55" t="s">
        <v>870</v>
      </c>
      <c r="AA35" s="58" t="s">
        <v>871</v>
      </c>
      <c r="AB35" s="58" t="s">
        <v>872</v>
      </c>
      <c r="AC35" s="55"/>
      <c r="AD35" s="55" t="s">
        <v>873</v>
      </c>
      <c r="AE35" s="55" t="s">
        <v>874</v>
      </c>
    </row>
    <row r="36">
      <c r="A36" s="22">
        <v>35.0</v>
      </c>
      <c r="B36" s="24" t="s">
        <v>106</v>
      </c>
      <c r="C36" s="26" t="s">
        <v>875</v>
      </c>
      <c r="D36" s="29" t="s">
        <v>876</v>
      </c>
      <c r="E36" s="37" t="str">
        <f t="shared" si="1"/>
        <v>จ.ส.อ. ณัฐพล นาคอ่อน</v>
      </c>
      <c r="F36" s="24" t="s">
        <v>111</v>
      </c>
      <c r="G36" s="26" t="s">
        <v>877</v>
      </c>
      <c r="H36" s="29" t="s">
        <v>878</v>
      </c>
      <c r="I36" s="39">
        <v>1.564900381E9</v>
      </c>
      <c r="J36" s="39">
        <v>1.709900907061E12</v>
      </c>
      <c r="K36" s="40" t="s">
        <v>861</v>
      </c>
      <c r="L36" s="29" t="s">
        <v>879</v>
      </c>
      <c r="M36" s="41" t="s">
        <v>880</v>
      </c>
      <c r="N36" s="39" t="s">
        <v>72</v>
      </c>
      <c r="O36" s="39" t="s">
        <v>73</v>
      </c>
      <c r="P36" s="42">
        <v>6.55681686E8</v>
      </c>
      <c r="Q36" s="43"/>
      <c r="R36" s="45" t="s">
        <v>34</v>
      </c>
      <c r="S36" s="46"/>
      <c r="T36" s="66" t="s">
        <v>881</v>
      </c>
      <c r="U36" s="53">
        <v>34568.0</v>
      </c>
      <c r="V36" s="31" t="s">
        <v>77</v>
      </c>
      <c r="W36" s="55">
        <f t="shared" si="2"/>
        <v>32</v>
      </c>
      <c r="X36" s="55" t="s">
        <v>98</v>
      </c>
      <c r="Y36" s="55" t="s">
        <v>428</v>
      </c>
      <c r="Z36" s="55" t="s">
        <v>890</v>
      </c>
      <c r="AA36" s="58" t="s">
        <v>891</v>
      </c>
      <c r="AB36" s="58" t="s">
        <v>892</v>
      </c>
      <c r="AC36" s="55"/>
      <c r="AD36" s="55" t="s">
        <v>893</v>
      </c>
      <c r="AE36" s="55" t="s">
        <v>894</v>
      </c>
    </row>
    <row r="37">
      <c r="A37" s="22">
        <v>36.0</v>
      </c>
      <c r="B37" s="24" t="s">
        <v>106</v>
      </c>
      <c r="C37" s="26" t="s">
        <v>895</v>
      </c>
      <c r="D37" s="29" t="s">
        <v>896</v>
      </c>
      <c r="E37" s="37" t="str">
        <f t="shared" si="1"/>
        <v>จ.ส.อ. ธวัชชัย โพธิ์ศรีขาม</v>
      </c>
      <c r="F37" s="24" t="s">
        <v>111</v>
      </c>
      <c r="G37" s="26" t="s">
        <v>897</v>
      </c>
      <c r="H37" s="29" t="s">
        <v>898</v>
      </c>
      <c r="I37" s="39">
        <v>1.530302475E9</v>
      </c>
      <c r="J37" s="39">
        <v>1.460400042261E12</v>
      </c>
      <c r="K37" s="40" t="s">
        <v>899</v>
      </c>
      <c r="L37" s="29" t="s">
        <v>900</v>
      </c>
      <c r="M37" s="41" t="s">
        <v>901</v>
      </c>
      <c r="N37" s="39" t="s">
        <v>85</v>
      </c>
      <c r="O37" s="39" t="s">
        <v>73</v>
      </c>
      <c r="P37" s="42">
        <v>8.47972068E8</v>
      </c>
      <c r="Q37" s="43"/>
      <c r="R37" s="45" t="s">
        <v>34</v>
      </c>
      <c r="S37" s="46"/>
      <c r="T37" s="66" t="s">
        <v>902</v>
      </c>
      <c r="U37" s="53">
        <v>33301.0</v>
      </c>
      <c r="V37" s="31" t="s">
        <v>77</v>
      </c>
      <c r="W37" s="55">
        <f t="shared" si="2"/>
        <v>35</v>
      </c>
      <c r="X37" s="55" t="s">
        <v>98</v>
      </c>
      <c r="Y37" s="55" t="s">
        <v>428</v>
      </c>
      <c r="Z37" s="55" t="s">
        <v>910</v>
      </c>
      <c r="AA37" s="58" t="s">
        <v>911</v>
      </c>
      <c r="AB37" s="58" t="s">
        <v>912</v>
      </c>
      <c r="AC37" s="55"/>
      <c r="AD37" s="55" t="s">
        <v>913</v>
      </c>
      <c r="AE37" s="55" t="s">
        <v>914</v>
      </c>
    </row>
    <row r="38">
      <c r="A38" s="22">
        <v>37.0</v>
      </c>
      <c r="B38" s="98" t="s">
        <v>106</v>
      </c>
      <c r="C38" s="26" t="s">
        <v>915</v>
      </c>
      <c r="D38" s="29" t="s">
        <v>916</v>
      </c>
      <c r="E38" s="37" t="str">
        <f t="shared" si="1"/>
        <v>จ.ส.อ. วิบูลย์ ศรสุวรรณ</v>
      </c>
      <c r="F38" s="98" t="s">
        <v>111</v>
      </c>
      <c r="G38" s="26" t="s">
        <v>917</v>
      </c>
      <c r="H38" s="29" t="s">
        <v>918</v>
      </c>
      <c r="I38" s="39">
        <v>1.565900241E9</v>
      </c>
      <c r="J38" s="39">
        <v>1.709900981431E12</v>
      </c>
      <c r="K38" s="40" t="s">
        <v>920</v>
      </c>
      <c r="L38" s="29" t="s">
        <v>900</v>
      </c>
      <c r="M38" s="41" t="s">
        <v>921</v>
      </c>
      <c r="N38" s="39" t="s">
        <v>85</v>
      </c>
      <c r="O38" s="39" t="s">
        <v>73</v>
      </c>
      <c r="P38" s="42">
        <v>9.52754853E8</v>
      </c>
      <c r="Q38" s="43"/>
      <c r="R38" s="45" t="s">
        <v>34</v>
      </c>
      <c r="S38" s="46"/>
      <c r="T38" s="66" t="s">
        <v>923</v>
      </c>
      <c r="U38" s="53">
        <v>34892.0</v>
      </c>
      <c r="V38" s="31" t="s">
        <v>77</v>
      </c>
      <c r="W38" s="55">
        <f t="shared" si="2"/>
        <v>31</v>
      </c>
      <c r="X38" s="55" t="s">
        <v>98</v>
      </c>
      <c r="Y38" s="55" t="s">
        <v>428</v>
      </c>
      <c r="Z38" s="55" t="s">
        <v>595</v>
      </c>
      <c r="AA38" s="114" t="s">
        <v>925</v>
      </c>
      <c r="AB38" s="58" t="s">
        <v>926</v>
      </c>
      <c r="AC38" s="55"/>
      <c r="AD38" s="55" t="s">
        <v>928</v>
      </c>
      <c r="AE38" s="55" t="s">
        <v>929</v>
      </c>
    </row>
    <row r="39">
      <c r="A39" s="22">
        <v>38.0</v>
      </c>
      <c r="B39" s="24" t="s">
        <v>106</v>
      </c>
      <c r="C39" s="26" t="s">
        <v>931</v>
      </c>
      <c r="D39" s="29" t="s">
        <v>932</v>
      </c>
      <c r="E39" s="37" t="str">
        <f t="shared" si="1"/>
        <v>จ.ส.อ. มานะพงษ์ จันทาอ่อน</v>
      </c>
      <c r="F39" s="24" t="s">
        <v>111</v>
      </c>
      <c r="G39" s="26" t="s">
        <v>933</v>
      </c>
      <c r="H39" s="29" t="s">
        <v>935</v>
      </c>
      <c r="I39" s="39">
        <v>1.424301988E9</v>
      </c>
      <c r="J39" s="39">
        <v>5.440700004812E12</v>
      </c>
      <c r="K39" s="40" t="s">
        <v>937</v>
      </c>
      <c r="L39" s="29" t="s">
        <v>938</v>
      </c>
      <c r="M39" s="41" t="s">
        <v>940</v>
      </c>
      <c r="N39" s="39" t="s">
        <v>85</v>
      </c>
      <c r="O39" s="39" t="s">
        <v>73</v>
      </c>
      <c r="P39" s="42">
        <v>8.05395874E8</v>
      </c>
      <c r="Q39" s="43"/>
      <c r="R39" s="45" t="s">
        <v>34</v>
      </c>
      <c r="S39" s="46"/>
      <c r="T39" s="66" t="s">
        <v>941</v>
      </c>
      <c r="U39" s="53">
        <v>29471.0</v>
      </c>
      <c r="V39" s="31" t="s">
        <v>77</v>
      </c>
      <c r="W39" s="55">
        <f t="shared" si="2"/>
        <v>46</v>
      </c>
      <c r="X39" s="55" t="s">
        <v>98</v>
      </c>
      <c r="Y39" s="55" t="s">
        <v>428</v>
      </c>
      <c r="Z39" s="55" t="s">
        <v>943</v>
      </c>
      <c r="AA39" s="58" t="s">
        <v>944</v>
      </c>
      <c r="AB39" s="58" t="s">
        <v>945</v>
      </c>
      <c r="AC39" s="55"/>
      <c r="AD39" s="55" t="s">
        <v>946</v>
      </c>
      <c r="AE39" s="55" t="s">
        <v>947</v>
      </c>
    </row>
    <row r="40">
      <c r="A40" s="22">
        <v>39.0</v>
      </c>
      <c r="B40" s="98" t="s">
        <v>106</v>
      </c>
      <c r="C40" s="26" t="s">
        <v>948</v>
      </c>
      <c r="D40" s="29" t="s">
        <v>949</v>
      </c>
      <c r="E40" s="37" t="str">
        <f t="shared" si="1"/>
        <v>จ.ส.อ. พิทยา บุญทา</v>
      </c>
      <c r="F40" s="98" t="s">
        <v>111</v>
      </c>
      <c r="G40" s="26" t="s">
        <v>950</v>
      </c>
      <c r="H40" s="29" t="s">
        <v>951</v>
      </c>
      <c r="I40" s="39">
        <v>1.564603626E9</v>
      </c>
      <c r="J40" s="39">
        <v>1.450400144551E12</v>
      </c>
      <c r="K40" s="40" t="s">
        <v>952</v>
      </c>
      <c r="L40" s="29" t="s">
        <v>953</v>
      </c>
      <c r="M40" s="41" t="s">
        <v>954</v>
      </c>
      <c r="N40" s="39" t="s">
        <v>85</v>
      </c>
      <c r="O40" s="39" t="s">
        <v>73</v>
      </c>
      <c r="P40" s="42">
        <v>8.8999878E8</v>
      </c>
      <c r="Q40" s="43"/>
      <c r="R40" s="45" t="s">
        <v>34</v>
      </c>
      <c r="S40" s="46"/>
      <c r="T40" s="66" t="s">
        <v>955</v>
      </c>
      <c r="U40" s="57">
        <v>34383.0</v>
      </c>
      <c r="V40" s="31" t="s">
        <v>77</v>
      </c>
      <c r="W40" s="55">
        <f t="shared" si="2"/>
        <v>32</v>
      </c>
      <c r="X40" s="55" t="s">
        <v>98</v>
      </c>
      <c r="Y40" s="55" t="s">
        <v>428</v>
      </c>
      <c r="Z40" s="55" t="s">
        <v>964</v>
      </c>
      <c r="AA40" s="58" t="s">
        <v>965</v>
      </c>
      <c r="AB40" s="58" t="s">
        <v>966</v>
      </c>
      <c r="AC40" s="55"/>
      <c r="AD40" s="55" t="s">
        <v>967</v>
      </c>
      <c r="AE40" s="55" t="s">
        <v>968</v>
      </c>
    </row>
    <row r="41">
      <c r="A41" s="22">
        <v>40.0</v>
      </c>
      <c r="B41" s="34" t="s">
        <v>106</v>
      </c>
      <c r="C41" s="35" t="s">
        <v>969</v>
      </c>
      <c r="D41" s="36" t="s">
        <v>970</v>
      </c>
      <c r="E41" s="37" t="str">
        <f t="shared" si="1"/>
        <v>จ.ส.อ. อนุสรณ์ ทองอำพล</v>
      </c>
      <c r="F41" s="63" t="s">
        <v>111</v>
      </c>
      <c r="G41" s="35" t="s">
        <v>971</v>
      </c>
      <c r="H41" s="36" t="s">
        <v>972</v>
      </c>
      <c r="I41" s="48">
        <v>1.540201169E9</v>
      </c>
      <c r="J41" s="48">
        <v>1.719900289287E12</v>
      </c>
      <c r="K41" s="40" t="s">
        <v>973</v>
      </c>
      <c r="L41" s="36" t="s">
        <v>974</v>
      </c>
      <c r="M41" s="41" t="s">
        <v>975</v>
      </c>
      <c r="N41" s="48" t="s">
        <v>155</v>
      </c>
      <c r="O41" s="39" t="s">
        <v>73</v>
      </c>
      <c r="P41" s="42">
        <v>8.71644598E8</v>
      </c>
      <c r="R41" s="45" t="s">
        <v>34</v>
      </c>
      <c r="S41" s="46"/>
      <c r="T41" s="66" t="s">
        <v>976</v>
      </c>
      <c r="U41" s="53">
        <v>33902.0</v>
      </c>
      <c r="V41" s="31" t="s">
        <v>77</v>
      </c>
      <c r="W41" s="55">
        <f t="shared" si="2"/>
        <v>33</v>
      </c>
      <c r="X41" s="55" t="s">
        <v>98</v>
      </c>
      <c r="Y41" s="55" t="s">
        <v>428</v>
      </c>
      <c r="Z41" s="55" t="s">
        <v>980</v>
      </c>
      <c r="AA41" s="55"/>
      <c r="AB41" s="55"/>
      <c r="AC41" s="55"/>
      <c r="AD41" s="55" t="s">
        <v>981</v>
      </c>
      <c r="AE41" s="55" t="s">
        <v>982</v>
      </c>
    </row>
    <row r="42">
      <c r="A42" s="22">
        <v>41.0</v>
      </c>
      <c r="B42" s="24" t="s">
        <v>106</v>
      </c>
      <c r="C42" s="26" t="s">
        <v>985</v>
      </c>
      <c r="D42" s="29" t="s">
        <v>986</v>
      </c>
      <c r="E42" s="37" t="str">
        <f t="shared" si="1"/>
        <v>จ.ส.อ. พงศ์ศิริ การะเกษ</v>
      </c>
      <c r="F42" s="24" t="s">
        <v>111</v>
      </c>
      <c r="G42" s="26" t="s">
        <v>987</v>
      </c>
      <c r="H42" s="29" t="s">
        <v>988</v>
      </c>
      <c r="I42" s="39">
        <v>1.464900808E9</v>
      </c>
      <c r="J42" s="39">
        <v>1.709900112611E12</v>
      </c>
      <c r="K42" s="40" t="s">
        <v>990</v>
      </c>
      <c r="L42" s="29" t="s">
        <v>991</v>
      </c>
      <c r="M42" s="41" t="s">
        <v>992</v>
      </c>
      <c r="N42" s="39" t="s">
        <v>188</v>
      </c>
      <c r="O42" s="39" t="s">
        <v>73</v>
      </c>
      <c r="P42" s="42">
        <v>9.46256989E8</v>
      </c>
      <c r="Q42" s="43"/>
      <c r="R42" s="45" t="s">
        <v>34</v>
      </c>
      <c r="S42" s="46"/>
      <c r="T42" s="66" t="s">
        <v>995</v>
      </c>
      <c r="U42" s="53">
        <v>31155.0</v>
      </c>
      <c r="V42" s="31" t="s">
        <v>77</v>
      </c>
      <c r="W42" s="55">
        <f t="shared" si="2"/>
        <v>41</v>
      </c>
      <c r="X42" s="55" t="s">
        <v>98</v>
      </c>
      <c r="Y42" s="55" t="s">
        <v>428</v>
      </c>
      <c r="Z42" s="55" t="s">
        <v>997</v>
      </c>
      <c r="AA42" s="170" t="s">
        <v>998</v>
      </c>
      <c r="AB42" s="58" t="s">
        <v>1001</v>
      </c>
      <c r="AC42" s="55"/>
      <c r="AD42" s="55" t="s">
        <v>1003</v>
      </c>
      <c r="AE42" s="55" t="s">
        <v>1004</v>
      </c>
    </row>
    <row r="43">
      <c r="A43" s="22">
        <v>42.0</v>
      </c>
      <c r="B43" s="24" t="s">
        <v>349</v>
      </c>
      <c r="C43" s="26" t="s">
        <v>1006</v>
      </c>
      <c r="D43" s="29" t="s">
        <v>1007</v>
      </c>
      <c r="E43" s="37" t="str">
        <f t="shared" si="1"/>
        <v>ส.อ. ธีรวัฒน์ เฟื่องฟู</v>
      </c>
      <c r="F43" s="24" t="s">
        <v>353</v>
      </c>
      <c r="G43" s="26" t="s">
        <v>1010</v>
      </c>
      <c r="H43" s="29" t="s">
        <v>1011</v>
      </c>
      <c r="I43" s="39">
        <v>1.544900345E9</v>
      </c>
      <c r="J43" s="39">
        <v>1.709900507306E12</v>
      </c>
      <c r="K43" s="40" t="s">
        <v>1012</v>
      </c>
      <c r="L43" s="29" t="s">
        <v>1013</v>
      </c>
      <c r="M43" s="41" t="s">
        <v>747</v>
      </c>
      <c r="N43" s="39" t="s">
        <v>85</v>
      </c>
      <c r="O43" s="39" t="s">
        <v>73</v>
      </c>
      <c r="P43" s="42">
        <v>6.23565286E8</v>
      </c>
      <c r="Q43" s="43"/>
      <c r="R43" s="45" t="s">
        <v>34</v>
      </c>
      <c r="S43" s="46"/>
      <c r="T43" s="66" t="s">
        <v>1015</v>
      </c>
      <c r="U43" s="57">
        <v>32883.0</v>
      </c>
      <c r="V43" s="31" t="s">
        <v>77</v>
      </c>
      <c r="W43" s="55">
        <f t="shared" si="2"/>
        <v>36</v>
      </c>
      <c r="X43" s="55" t="s">
        <v>98</v>
      </c>
      <c r="Y43" s="55" t="s">
        <v>428</v>
      </c>
      <c r="Z43" s="55" t="s">
        <v>1016</v>
      </c>
      <c r="AA43" s="114" t="s">
        <v>1017</v>
      </c>
      <c r="AB43" s="58" t="s">
        <v>1018</v>
      </c>
      <c r="AC43" s="55"/>
      <c r="AD43" s="55" t="s">
        <v>1019</v>
      </c>
      <c r="AE43" s="55" t="s">
        <v>1020</v>
      </c>
    </row>
    <row r="44">
      <c r="A44" s="22">
        <v>43.0</v>
      </c>
      <c r="B44" s="24" t="s">
        <v>349</v>
      </c>
      <c r="C44" s="26" t="s">
        <v>875</v>
      </c>
      <c r="D44" s="29" t="s">
        <v>1021</v>
      </c>
      <c r="E44" s="37" t="str">
        <f t="shared" si="1"/>
        <v>ส.อ. ณัฐพล บัวพึ่ง</v>
      </c>
      <c r="F44" s="24" t="s">
        <v>353</v>
      </c>
      <c r="G44" s="26" t="s">
        <v>877</v>
      </c>
      <c r="H44" s="29" t="s">
        <v>1023</v>
      </c>
      <c r="I44" s="39">
        <v>1.604900655E9</v>
      </c>
      <c r="J44" s="39">
        <v>1.70970016748E12</v>
      </c>
      <c r="K44" s="40" t="s">
        <v>1012</v>
      </c>
      <c r="L44" s="29" t="s">
        <v>1026</v>
      </c>
      <c r="M44" s="41" t="s">
        <v>518</v>
      </c>
      <c r="N44" s="39" t="s">
        <v>85</v>
      </c>
      <c r="O44" s="39" t="s">
        <v>73</v>
      </c>
      <c r="P44" s="42">
        <v>6.13256637E8</v>
      </c>
      <c r="Q44" s="43"/>
      <c r="R44" s="45" t="s">
        <v>34</v>
      </c>
      <c r="S44" s="46"/>
      <c r="T44" s="66" t="s">
        <v>1027</v>
      </c>
      <c r="U44" s="53">
        <v>35093.0</v>
      </c>
      <c r="V44" s="31" t="s">
        <v>77</v>
      </c>
      <c r="W44" s="55">
        <f t="shared" si="2"/>
        <v>30</v>
      </c>
      <c r="X44" s="55" t="s">
        <v>98</v>
      </c>
      <c r="Y44" s="55" t="s">
        <v>428</v>
      </c>
      <c r="Z44" s="55" t="s">
        <v>1033</v>
      </c>
      <c r="AA44" s="58" t="s">
        <v>1034</v>
      </c>
      <c r="AB44" s="58" t="s">
        <v>1035</v>
      </c>
      <c r="AC44" s="55"/>
      <c r="AD44" s="55" t="s">
        <v>1036</v>
      </c>
      <c r="AE44" s="55" t="s">
        <v>1037</v>
      </c>
    </row>
    <row r="45">
      <c r="A45" s="22">
        <v>44.0</v>
      </c>
      <c r="B45" s="24" t="s">
        <v>398</v>
      </c>
      <c r="C45" s="26" t="s">
        <v>1006</v>
      </c>
      <c r="D45" s="29" t="s">
        <v>1038</v>
      </c>
      <c r="E45" s="37" t="str">
        <f t="shared" si="1"/>
        <v>จ.ส.ท. ธีรวัฒน์ ภูดี</v>
      </c>
      <c r="F45" s="24" t="s">
        <v>111</v>
      </c>
      <c r="G45" s="26" t="s">
        <v>1010</v>
      </c>
      <c r="H45" s="29" t="s">
        <v>1039</v>
      </c>
      <c r="I45" s="39">
        <v>1.530300589E9</v>
      </c>
      <c r="J45" s="39">
        <v>1.460600079991E12</v>
      </c>
      <c r="K45" s="40" t="s">
        <v>1040</v>
      </c>
      <c r="L45" s="29" t="s">
        <v>953</v>
      </c>
      <c r="M45" s="41" t="s">
        <v>921</v>
      </c>
      <c r="N45" s="39" t="s">
        <v>85</v>
      </c>
      <c r="O45" s="39" t="s">
        <v>73</v>
      </c>
      <c r="P45" s="42">
        <v>9.83633742E8</v>
      </c>
      <c r="Q45" s="43"/>
      <c r="R45" s="45" t="s">
        <v>34</v>
      </c>
      <c r="S45" s="46"/>
      <c r="T45" s="66" t="s">
        <v>1041</v>
      </c>
      <c r="U45" s="57">
        <v>32535.0</v>
      </c>
      <c r="V45" s="31" t="s">
        <v>77</v>
      </c>
      <c r="W45" s="55">
        <f t="shared" si="2"/>
        <v>37</v>
      </c>
      <c r="X45" s="55" t="s">
        <v>98</v>
      </c>
      <c r="Y45" s="55" t="s">
        <v>428</v>
      </c>
      <c r="Z45" s="55" t="s">
        <v>1049</v>
      </c>
      <c r="AA45" s="114" t="s">
        <v>1050</v>
      </c>
      <c r="AB45" s="58" t="s">
        <v>1051</v>
      </c>
      <c r="AC45" s="55"/>
      <c r="AD45" s="55" t="s">
        <v>1052</v>
      </c>
      <c r="AE45" s="55" t="s">
        <v>1053</v>
      </c>
    </row>
    <row r="46">
      <c r="A46" s="22">
        <v>45.0</v>
      </c>
      <c r="B46" s="24" t="s">
        <v>349</v>
      </c>
      <c r="C46" s="26" t="s">
        <v>399</v>
      </c>
      <c r="D46" s="29" t="s">
        <v>1054</v>
      </c>
      <c r="E46" s="37" t="str">
        <f t="shared" si="1"/>
        <v>ส.อ. อภิวัฒน์ จันทร์ทอง</v>
      </c>
      <c r="F46" s="24" t="s">
        <v>353</v>
      </c>
      <c r="G46" s="26" t="s">
        <v>411</v>
      </c>
      <c r="H46" s="29" t="s">
        <v>1055</v>
      </c>
      <c r="I46" s="39">
        <v>1.574900069E9</v>
      </c>
      <c r="J46" s="39">
        <v>1.709900809388E12</v>
      </c>
      <c r="K46" s="40" t="s">
        <v>1056</v>
      </c>
      <c r="L46" s="29" t="s">
        <v>1057</v>
      </c>
      <c r="M46" s="41" t="s">
        <v>563</v>
      </c>
      <c r="N46" s="39" t="s">
        <v>72</v>
      </c>
      <c r="O46" s="39" t="s">
        <v>73</v>
      </c>
      <c r="P46" s="42">
        <v>9.56048533E8</v>
      </c>
      <c r="Q46" s="43"/>
      <c r="R46" s="45" t="s">
        <v>34</v>
      </c>
      <c r="S46" s="46"/>
      <c r="T46" s="66" t="s">
        <v>1058</v>
      </c>
      <c r="U46" s="53">
        <v>34145.0</v>
      </c>
      <c r="V46" s="31" t="s">
        <v>77</v>
      </c>
      <c r="W46" s="55">
        <f t="shared" si="2"/>
        <v>33</v>
      </c>
      <c r="X46" s="55" t="s">
        <v>98</v>
      </c>
      <c r="Y46" s="55" t="s">
        <v>428</v>
      </c>
      <c r="Z46" s="55" t="s">
        <v>1067</v>
      </c>
      <c r="AA46" s="58" t="s">
        <v>1068</v>
      </c>
      <c r="AB46" s="58" t="s">
        <v>1069</v>
      </c>
      <c r="AC46" s="55"/>
      <c r="AD46" s="55" t="s">
        <v>1070</v>
      </c>
      <c r="AE46" s="55" t="s">
        <v>1071</v>
      </c>
    </row>
    <row r="47">
      <c r="A47" s="103">
        <v>46.0</v>
      </c>
      <c r="B47" s="118" t="s">
        <v>106</v>
      </c>
      <c r="C47" s="26" t="s">
        <v>1072</v>
      </c>
      <c r="D47" s="29" t="s">
        <v>1073</v>
      </c>
      <c r="E47" s="37" t="str">
        <f t="shared" si="1"/>
        <v>จ.ส.อ. อลงกต กีระนันทน์</v>
      </c>
      <c r="F47" s="24" t="s">
        <v>111</v>
      </c>
      <c r="G47" s="26" t="s">
        <v>1074</v>
      </c>
      <c r="H47" s="29" t="s">
        <v>1075</v>
      </c>
      <c r="I47" s="39">
        <v>1.433300265E9</v>
      </c>
      <c r="J47" s="39">
        <v>3.100203117518E12</v>
      </c>
      <c r="K47" s="40" t="s">
        <v>899</v>
      </c>
      <c r="L47" s="29" t="s">
        <v>1076</v>
      </c>
      <c r="M47" s="41" t="s">
        <v>1077</v>
      </c>
      <c r="N47" s="39" t="s">
        <v>72</v>
      </c>
      <c r="O47" s="39" t="s">
        <v>73</v>
      </c>
      <c r="P47" s="42">
        <v>6.55212432E8</v>
      </c>
      <c r="Q47" s="43"/>
      <c r="R47" s="45" t="s">
        <v>34</v>
      </c>
      <c r="S47" s="46"/>
      <c r="T47" s="66" t="s">
        <v>1078</v>
      </c>
      <c r="U47" s="53">
        <v>29828.0</v>
      </c>
      <c r="V47" s="31" t="s">
        <v>77</v>
      </c>
      <c r="W47" s="55">
        <f t="shared" si="2"/>
        <v>45</v>
      </c>
      <c r="X47" s="55" t="s">
        <v>98</v>
      </c>
      <c r="Y47" s="55" t="s">
        <v>428</v>
      </c>
      <c r="Z47" s="55" t="s">
        <v>1087</v>
      </c>
      <c r="AA47" s="58" t="s">
        <v>1088</v>
      </c>
      <c r="AB47" s="58" t="s">
        <v>1089</v>
      </c>
      <c r="AC47" s="55"/>
      <c r="AD47" s="55" t="s">
        <v>1090</v>
      </c>
      <c r="AE47" s="55" t="s">
        <v>1091</v>
      </c>
    </row>
    <row r="48">
      <c r="A48" s="103">
        <v>47.0</v>
      </c>
      <c r="B48" s="118" t="s">
        <v>106</v>
      </c>
      <c r="C48" s="26" t="s">
        <v>1092</v>
      </c>
      <c r="D48" s="29" t="s">
        <v>1093</v>
      </c>
      <c r="E48" s="37" t="str">
        <f t="shared" si="1"/>
        <v>จ.ส.อ. กฤษดา ชาญเลิศ</v>
      </c>
      <c r="F48" s="24" t="s">
        <v>111</v>
      </c>
      <c r="G48" s="26" t="s">
        <v>1094</v>
      </c>
      <c r="H48" s="29" t="s">
        <v>1095</v>
      </c>
      <c r="I48" s="39">
        <v>1.45460033E9</v>
      </c>
      <c r="J48" s="39">
        <v>3.451000116337E12</v>
      </c>
      <c r="K48" s="40" t="s">
        <v>1096</v>
      </c>
      <c r="L48" s="29" t="s">
        <v>1097</v>
      </c>
      <c r="M48" s="41" t="s">
        <v>1098</v>
      </c>
      <c r="N48" s="39" t="s">
        <v>72</v>
      </c>
      <c r="O48" s="39" t="s">
        <v>73</v>
      </c>
      <c r="P48" s="42">
        <v>8.76622599E8</v>
      </c>
      <c r="Q48" s="43"/>
      <c r="R48" s="45" t="s">
        <v>34</v>
      </c>
      <c r="S48" s="46"/>
      <c r="T48" s="66" t="s">
        <v>1099</v>
      </c>
      <c r="U48" s="53">
        <v>29946.0</v>
      </c>
      <c r="V48" s="31" t="s">
        <v>77</v>
      </c>
      <c r="W48" s="55">
        <f t="shared" si="2"/>
        <v>44</v>
      </c>
      <c r="X48" s="55" t="s">
        <v>98</v>
      </c>
      <c r="Y48" s="55" t="s">
        <v>428</v>
      </c>
      <c r="Z48" s="55" t="s">
        <v>980</v>
      </c>
      <c r="AA48" s="58" t="s">
        <v>1106</v>
      </c>
      <c r="AB48" s="58" t="s">
        <v>1107</v>
      </c>
      <c r="AC48" s="55"/>
      <c r="AD48" s="55" t="s">
        <v>1108</v>
      </c>
      <c r="AE48" s="55" t="s">
        <v>1109</v>
      </c>
    </row>
    <row r="49">
      <c r="A49" s="103">
        <v>48.0</v>
      </c>
      <c r="B49" s="118" t="s">
        <v>106</v>
      </c>
      <c r="C49" s="26" t="s">
        <v>1060</v>
      </c>
      <c r="D49" s="29" t="s">
        <v>1111</v>
      </c>
      <c r="E49" s="37" t="str">
        <f t="shared" si="1"/>
        <v>จ.ส.อ. ธีรพล ปัญญาวชิรโชติ</v>
      </c>
      <c r="F49" s="24" t="s">
        <v>111</v>
      </c>
      <c r="G49" s="26" t="s">
        <v>1062</v>
      </c>
      <c r="H49" s="29" t="s">
        <v>1112</v>
      </c>
      <c r="I49" s="39">
        <v>1.515900332E9</v>
      </c>
      <c r="J49" s="39">
        <v>1.759900109254E12</v>
      </c>
      <c r="K49" s="40" t="s">
        <v>1113</v>
      </c>
      <c r="L49" s="29" t="s">
        <v>1114</v>
      </c>
      <c r="M49" s="41" t="s">
        <v>954</v>
      </c>
      <c r="N49" s="39" t="s">
        <v>155</v>
      </c>
      <c r="O49" s="39" t="s">
        <v>73</v>
      </c>
      <c r="P49" s="42">
        <v>8.40025935E8</v>
      </c>
      <c r="Q49" s="43"/>
      <c r="R49" s="45" t="s">
        <v>34</v>
      </c>
      <c r="S49" s="46"/>
      <c r="T49" s="66" t="s">
        <v>1115</v>
      </c>
      <c r="U49" s="53">
        <v>31987.0</v>
      </c>
      <c r="V49" s="31" t="s">
        <v>77</v>
      </c>
      <c r="W49" s="55">
        <f t="shared" si="2"/>
        <v>39</v>
      </c>
      <c r="X49" s="55" t="s">
        <v>98</v>
      </c>
      <c r="Y49" s="55" t="s">
        <v>428</v>
      </c>
      <c r="Z49" s="55" t="s">
        <v>1119</v>
      </c>
      <c r="AA49" s="58" t="s">
        <v>1120</v>
      </c>
      <c r="AB49" s="58" t="s">
        <v>1121</v>
      </c>
      <c r="AC49" s="55"/>
      <c r="AD49" s="55" t="s">
        <v>1122</v>
      </c>
      <c r="AE49" s="55" t="s">
        <v>1123</v>
      </c>
    </row>
    <row r="50">
      <c r="A50" s="103">
        <v>49.0</v>
      </c>
      <c r="B50" s="118" t="s">
        <v>349</v>
      </c>
      <c r="C50" s="26" t="s">
        <v>1124</v>
      </c>
      <c r="D50" s="29" t="s">
        <v>1126</v>
      </c>
      <c r="E50" s="37" t="str">
        <f t="shared" si="1"/>
        <v>ส.อ. ธนบูรณ์ บุญฤทธิ์</v>
      </c>
      <c r="F50" s="24" t="s">
        <v>353</v>
      </c>
      <c r="G50" s="26" t="s">
        <v>1128</v>
      </c>
      <c r="H50" s="29" t="s">
        <v>1129</v>
      </c>
      <c r="I50" s="39">
        <v>1.61210418E9</v>
      </c>
      <c r="J50" s="39">
        <v>1.101500945983E12</v>
      </c>
      <c r="K50" s="40" t="s">
        <v>952</v>
      </c>
      <c r="L50" s="29" t="s">
        <v>1131</v>
      </c>
      <c r="M50" s="41" t="s">
        <v>658</v>
      </c>
      <c r="N50" s="39" t="s">
        <v>72</v>
      </c>
      <c r="O50" s="39" t="s">
        <v>73</v>
      </c>
      <c r="P50" s="42">
        <v>9.0249729E8</v>
      </c>
      <c r="Q50" s="43"/>
      <c r="R50" s="45" t="s">
        <v>34</v>
      </c>
      <c r="S50" s="46"/>
      <c r="T50" s="66" t="s">
        <v>1133</v>
      </c>
      <c r="U50" s="53">
        <v>35682.0</v>
      </c>
      <c r="V50" s="31" t="s">
        <v>77</v>
      </c>
      <c r="W50" s="55">
        <f t="shared" si="2"/>
        <v>29</v>
      </c>
      <c r="X50" s="55" t="s">
        <v>98</v>
      </c>
      <c r="Y50" s="55" t="s">
        <v>428</v>
      </c>
      <c r="Z50" s="55" t="s">
        <v>1134</v>
      </c>
      <c r="AA50" s="58" t="s">
        <v>1135</v>
      </c>
      <c r="AB50" s="58" t="s">
        <v>1136</v>
      </c>
      <c r="AC50" s="55"/>
      <c r="AD50" s="55" t="s">
        <v>1137</v>
      </c>
      <c r="AE50" s="55" t="s">
        <v>1138</v>
      </c>
    </row>
    <row r="51">
      <c r="A51" s="103">
        <v>50.0</v>
      </c>
      <c r="B51" s="118" t="s">
        <v>106</v>
      </c>
      <c r="C51" s="26" t="s">
        <v>1139</v>
      </c>
      <c r="D51" s="29" t="s">
        <v>1140</v>
      </c>
      <c r="E51" s="37" t="str">
        <f t="shared" si="1"/>
        <v>จ.ส.อ. ไชยา แจ้งสว่าง</v>
      </c>
      <c r="F51" s="24" t="s">
        <v>111</v>
      </c>
      <c r="G51" s="26" t="s">
        <v>1142</v>
      </c>
      <c r="H51" s="29" t="s">
        <v>1143</v>
      </c>
      <c r="I51" s="39">
        <v>1.507301267E9</v>
      </c>
      <c r="J51" s="39">
        <v>1.560300120595E12</v>
      </c>
      <c r="K51" s="40" t="s">
        <v>973</v>
      </c>
      <c r="L51" s="29" t="s">
        <v>1144</v>
      </c>
      <c r="M51" s="41" t="s">
        <v>1145</v>
      </c>
      <c r="N51" s="39" t="s">
        <v>188</v>
      </c>
      <c r="O51" s="39" t="s">
        <v>73</v>
      </c>
      <c r="P51" s="42">
        <v>8.04433201E8</v>
      </c>
      <c r="Q51" s="43"/>
      <c r="R51" s="45" t="s">
        <v>34</v>
      </c>
      <c r="S51" s="46"/>
      <c r="T51" s="66" t="s">
        <v>1148</v>
      </c>
      <c r="U51" s="57">
        <v>32332.0</v>
      </c>
      <c r="V51" s="31" t="s">
        <v>77</v>
      </c>
      <c r="W51" s="55">
        <f t="shared" si="2"/>
        <v>38</v>
      </c>
      <c r="X51" s="55" t="s">
        <v>98</v>
      </c>
      <c r="Y51" s="55" t="s">
        <v>428</v>
      </c>
      <c r="Z51" s="55" t="s">
        <v>964</v>
      </c>
      <c r="AA51" s="55"/>
      <c r="AB51" s="55"/>
      <c r="AC51" s="55"/>
      <c r="AD51" s="55" t="s">
        <v>1153</v>
      </c>
      <c r="AE51" s="55" t="s">
        <v>1154</v>
      </c>
    </row>
    <row r="52">
      <c r="A52" s="103">
        <v>51.0</v>
      </c>
      <c r="B52" s="118" t="s">
        <v>106</v>
      </c>
      <c r="C52" s="26" t="s">
        <v>1155</v>
      </c>
      <c r="D52" s="29" t="s">
        <v>1156</v>
      </c>
      <c r="E52" s="37" t="str">
        <f t="shared" si="1"/>
        <v>จ.ส.อ. เอกชัย นิจิตร</v>
      </c>
      <c r="F52" s="24" t="s">
        <v>111</v>
      </c>
      <c r="G52" s="26" t="s">
        <v>1158</v>
      </c>
      <c r="H52" s="29" t="s">
        <v>1159</v>
      </c>
      <c r="I52" s="39">
        <v>1.522801292E9</v>
      </c>
      <c r="J52" s="39">
        <v>2.310300019509E12</v>
      </c>
      <c r="K52" s="40" t="s">
        <v>990</v>
      </c>
      <c r="L52" s="29" t="s">
        <v>1160</v>
      </c>
      <c r="M52" s="41" t="s">
        <v>954</v>
      </c>
      <c r="N52" s="39" t="s">
        <v>155</v>
      </c>
      <c r="O52" s="39" t="s">
        <v>73</v>
      </c>
      <c r="P52" s="42">
        <v>8.88874199E8</v>
      </c>
      <c r="Q52" s="43"/>
      <c r="R52" s="45" t="s">
        <v>34</v>
      </c>
      <c r="S52" s="46"/>
      <c r="T52" s="66" t="s">
        <v>1161</v>
      </c>
      <c r="U52" s="53">
        <v>32430.0</v>
      </c>
      <c r="V52" s="31" t="s">
        <v>77</v>
      </c>
      <c r="W52" s="55">
        <f t="shared" si="2"/>
        <v>37</v>
      </c>
      <c r="X52" s="55" t="s">
        <v>98</v>
      </c>
      <c r="Y52" s="55" t="s">
        <v>428</v>
      </c>
      <c r="Z52" s="55" t="s">
        <v>964</v>
      </c>
      <c r="AA52" s="58" t="s">
        <v>1162</v>
      </c>
      <c r="AB52" s="58" t="s">
        <v>1163</v>
      </c>
      <c r="AC52" s="55"/>
      <c r="AD52" s="55" t="s">
        <v>1164</v>
      </c>
      <c r="AE52" s="55" t="s">
        <v>1165</v>
      </c>
    </row>
    <row r="53">
      <c r="A53" s="103">
        <v>52.0</v>
      </c>
      <c r="B53" s="118" t="s">
        <v>106</v>
      </c>
      <c r="C53" s="26" t="s">
        <v>1166</v>
      </c>
      <c r="D53" s="29" t="s">
        <v>1167</v>
      </c>
      <c r="E53" s="37" t="str">
        <f t="shared" si="1"/>
        <v>จ.ส.อ. วสันต์ พรหมมา</v>
      </c>
      <c r="F53" s="24" t="s">
        <v>111</v>
      </c>
      <c r="G53" s="26" t="s">
        <v>1168</v>
      </c>
      <c r="H53" s="29" t="s">
        <v>1169</v>
      </c>
      <c r="I53" s="39">
        <v>1.510201659E9</v>
      </c>
      <c r="J53" s="39">
        <v>1.710900109931E12</v>
      </c>
      <c r="K53" s="40" t="s">
        <v>1012</v>
      </c>
      <c r="L53" s="29" t="s">
        <v>1170</v>
      </c>
      <c r="M53" s="41" t="s">
        <v>1171</v>
      </c>
      <c r="N53" s="39" t="s">
        <v>72</v>
      </c>
      <c r="O53" s="39" t="s">
        <v>73</v>
      </c>
      <c r="P53" s="42">
        <v>6.55683396E8</v>
      </c>
      <c r="Q53" s="43"/>
      <c r="R53" s="45" t="s">
        <v>34</v>
      </c>
      <c r="S53" s="46"/>
      <c r="T53" s="66" t="s">
        <v>1172</v>
      </c>
      <c r="U53" s="53">
        <v>32457.0</v>
      </c>
      <c r="V53" s="31" t="s">
        <v>77</v>
      </c>
      <c r="W53" s="55">
        <f t="shared" si="2"/>
        <v>37</v>
      </c>
      <c r="X53" s="55" t="s">
        <v>98</v>
      </c>
      <c r="Y53" s="55" t="s">
        <v>428</v>
      </c>
      <c r="Z53" s="55" t="s">
        <v>1173</v>
      </c>
      <c r="AA53" s="114" t="s">
        <v>1174</v>
      </c>
      <c r="AB53" s="58" t="s">
        <v>1175</v>
      </c>
      <c r="AC53" s="55"/>
      <c r="AD53" s="55" t="s">
        <v>1176</v>
      </c>
      <c r="AE53" s="55" t="s">
        <v>1177</v>
      </c>
    </row>
    <row r="54">
      <c r="A54" s="103">
        <v>53.0</v>
      </c>
      <c r="B54" s="118" t="s">
        <v>646</v>
      </c>
      <c r="C54" s="26" t="s">
        <v>1178</v>
      </c>
      <c r="D54" s="29" t="s">
        <v>1179</v>
      </c>
      <c r="E54" s="37" t="str">
        <f t="shared" si="1"/>
        <v>จ.ส.ต. ธนะชัย ขุนชำนิ</v>
      </c>
      <c r="F54" s="24" t="s">
        <v>659</v>
      </c>
      <c r="G54" s="26" t="s">
        <v>1180</v>
      </c>
      <c r="H54" s="29" t="s">
        <v>1181</v>
      </c>
      <c r="I54" s="39">
        <v>1.574900786E9</v>
      </c>
      <c r="J54" s="39">
        <v>1.709700160647E12</v>
      </c>
      <c r="K54" s="40" t="s">
        <v>1012</v>
      </c>
      <c r="L54" s="29" t="s">
        <v>1182</v>
      </c>
      <c r="M54" s="41" t="s">
        <v>1183</v>
      </c>
      <c r="N54" s="39" t="s">
        <v>85</v>
      </c>
      <c r="O54" s="39" t="s">
        <v>73</v>
      </c>
      <c r="P54" s="42">
        <v>8.441189E8</v>
      </c>
      <c r="Q54" s="43"/>
      <c r="R54" s="45" t="s">
        <v>34</v>
      </c>
      <c r="S54" s="46"/>
      <c r="T54" s="66" t="s">
        <v>1184</v>
      </c>
      <c r="U54" s="53">
        <v>34947.0</v>
      </c>
      <c r="V54" s="31" t="s">
        <v>77</v>
      </c>
      <c r="W54" s="55">
        <f t="shared" si="2"/>
        <v>31</v>
      </c>
      <c r="X54" s="55" t="s">
        <v>98</v>
      </c>
      <c r="Y54" s="55" t="s">
        <v>428</v>
      </c>
      <c r="Z54" s="55" t="s">
        <v>1185</v>
      </c>
      <c r="AA54" s="55"/>
      <c r="AB54" s="55"/>
      <c r="AC54" s="55"/>
      <c r="AD54" s="55" t="s">
        <v>1186</v>
      </c>
      <c r="AE54" s="55" t="s">
        <v>1187</v>
      </c>
    </row>
    <row r="55">
      <c r="A55" s="103">
        <v>54.0</v>
      </c>
      <c r="B55" s="118" t="s">
        <v>106</v>
      </c>
      <c r="C55" s="26" t="s">
        <v>1188</v>
      </c>
      <c r="D55" s="29" t="s">
        <v>1189</v>
      </c>
      <c r="E55" s="37" t="str">
        <f t="shared" si="1"/>
        <v>จ.ส.อ. เชิดศักดิ์ อินทปัทม์</v>
      </c>
      <c r="F55" s="24" t="s">
        <v>111</v>
      </c>
      <c r="G55" s="26" t="s">
        <v>1190</v>
      </c>
      <c r="H55" s="29" t="s">
        <v>1191</v>
      </c>
      <c r="I55" s="39">
        <v>1.574900526E9</v>
      </c>
      <c r="J55" s="39">
        <v>1.709900956372E12</v>
      </c>
      <c r="K55" s="40" t="s">
        <v>1040</v>
      </c>
      <c r="L55" s="29" t="s">
        <v>1192</v>
      </c>
      <c r="M55" s="41" t="s">
        <v>921</v>
      </c>
      <c r="N55" s="39" t="s">
        <v>155</v>
      </c>
      <c r="O55" s="39" t="s">
        <v>73</v>
      </c>
      <c r="P55" s="42">
        <v>8.77679749E8</v>
      </c>
      <c r="Q55" s="43"/>
      <c r="R55" s="45" t="s">
        <v>34</v>
      </c>
      <c r="S55" s="46"/>
      <c r="T55" s="66" t="s">
        <v>1193</v>
      </c>
      <c r="U55" s="53">
        <v>34783.0</v>
      </c>
      <c r="V55" s="31" t="s">
        <v>77</v>
      </c>
      <c r="W55" s="55">
        <f t="shared" si="2"/>
        <v>31</v>
      </c>
      <c r="X55" s="55" t="s">
        <v>98</v>
      </c>
      <c r="Y55" s="55" t="s">
        <v>428</v>
      </c>
      <c r="Z55" s="55" t="s">
        <v>870</v>
      </c>
      <c r="AA55" s="58" t="s">
        <v>1194</v>
      </c>
      <c r="AB55" s="58" t="s">
        <v>1195</v>
      </c>
      <c r="AC55" s="55"/>
      <c r="AD55" s="55" t="s">
        <v>1196</v>
      </c>
      <c r="AE55" s="55" t="s">
        <v>1197</v>
      </c>
    </row>
    <row r="56">
      <c r="A56" s="103">
        <v>55.0</v>
      </c>
      <c r="B56" s="118" t="s">
        <v>106</v>
      </c>
      <c r="C56" s="26" t="s">
        <v>1198</v>
      </c>
      <c r="D56" s="29" t="s">
        <v>1199</v>
      </c>
      <c r="E56" s="37" t="str">
        <f t="shared" si="1"/>
        <v>จ.ส.อ. ต่อศักดิ์ พันธุ์พานิช</v>
      </c>
      <c r="F56" s="24" t="s">
        <v>111</v>
      </c>
      <c r="G56" s="26" t="s">
        <v>1200</v>
      </c>
      <c r="H56" s="29" t="s">
        <v>1201</v>
      </c>
      <c r="I56" s="39">
        <v>1.36490206E9</v>
      </c>
      <c r="J56" s="39">
        <v>3.700100431958E12</v>
      </c>
      <c r="K56" s="40" t="s">
        <v>1056</v>
      </c>
      <c r="L56" s="29" t="s">
        <v>1202</v>
      </c>
      <c r="M56" s="41" t="s">
        <v>1203</v>
      </c>
      <c r="N56" s="39" t="s">
        <v>85</v>
      </c>
      <c r="O56" s="39" t="s">
        <v>73</v>
      </c>
      <c r="P56" s="42">
        <v>8.06888998E8</v>
      </c>
      <c r="Q56" s="43"/>
      <c r="R56" s="45" t="s">
        <v>34</v>
      </c>
      <c r="S56" s="46"/>
      <c r="T56" s="66" t="s">
        <v>1204</v>
      </c>
      <c r="U56" s="53">
        <v>27146.0</v>
      </c>
      <c r="V56" s="31" t="s">
        <v>77</v>
      </c>
      <c r="W56" s="55">
        <f t="shared" si="2"/>
        <v>52</v>
      </c>
      <c r="X56" s="55" t="s">
        <v>98</v>
      </c>
      <c r="Y56" s="55" t="s">
        <v>428</v>
      </c>
      <c r="Z56" s="55" t="s">
        <v>1205</v>
      </c>
      <c r="AA56" s="55"/>
      <c r="AB56" s="55"/>
      <c r="AC56" s="55"/>
      <c r="AD56" s="55" t="s">
        <v>1206</v>
      </c>
      <c r="AE56" s="55" t="s">
        <v>1207</v>
      </c>
    </row>
    <row r="57">
      <c r="A57" s="103">
        <v>56.0</v>
      </c>
      <c r="B57" s="118" t="s">
        <v>106</v>
      </c>
      <c r="C57" s="26" t="s">
        <v>1060</v>
      </c>
      <c r="D57" s="29" t="s">
        <v>1208</v>
      </c>
      <c r="E57" s="37" t="str">
        <f t="shared" si="1"/>
        <v>จ.ส.อ. ธีรพล มังคะลา</v>
      </c>
      <c r="F57" s="24" t="s">
        <v>111</v>
      </c>
      <c r="G57" s="26" t="s">
        <v>1209</v>
      </c>
      <c r="H57" s="29" t="s">
        <v>1210</v>
      </c>
      <c r="I57" s="39">
        <v>1.541200931E9</v>
      </c>
      <c r="J57" s="39">
        <v>1.579900478308E12</v>
      </c>
      <c r="K57" s="40" t="s">
        <v>899</v>
      </c>
      <c r="L57" s="29" t="s">
        <v>900</v>
      </c>
      <c r="M57" s="41" t="s">
        <v>1211</v>
      </c>
      <c r="N57" s="39" t="s">
        <v>72</v>
      </c>
      <c r="O57" s="39" t="s">
        <v>73</v>
      </c>
      <c r="P57" s="42">
        <v>9.69535945E8</v>
      </c>
      <c r="Q57" s="43"/>
      <c r="R57" s="45" t="s">
        <v>34</v>
      </c>
      <c r="S57" s="46"/>
      <c r="T57" s="66" t="s">
        <v>1212</v>
      </c>
      <c r="U57" s="53">
        <v>34071.0</v>
      </c>
      <c r="V57" s="31" t="s">
        <v>77</v>
      </c>
      <c r="W57" s="55">
        <f t="shared" si="2"/>
        <v>33</v>
      </c>
      <c r="X57" s="55" t="s">
        <v>98</v>
      </c>
      <c r="Y57" s="55" t="s">
        <v>428</v>
      </c>
      <c r="Z57" s="55" t="s">
        <v>1213</v>
      </c>
      <c r="AA57" s="58" t="s">
        <v>1214</v>
      </c>
      <c r="AB57" s="58" t="s">
        <v>1215</v>
      </c>
      <c r="AC57" s="55"/>
      <c r="AD57" s="55" t="s">
        <v>1216</v>
      </c>
      <c r="AE57" s="55" t="s">
        <v>1217</v>
      </c>
    </row>
    <row r="58">
      <c r="A58" s="103">
        <v>57.0</v>
      </c>
      <c r="B58" s="118" t="s">
        <v>106</v>
      </c>
      <c r="C58" s="26" t="s">
        <v>261</v>
      </c>
      <c r="D58" s="29" t="s">
        <v>1218</v>
      </c>
      <c r="E58" s="37" t="str">
        <f t="shared" si="1"/>
        <v>จ.ส.อ. วิทยา จันทร์มาก</v>
      </c>
      <c r="F58" s="24" t="s">
        <v>111</v>
      </c>
      <c r="G58" s="26" t="s">
        <v>267</v>
      </c>
      <c r="H58" s="29" t="s">
        <v>1220</v>
      </c>
      <c r="I58" s="39">
        <v>1.473900732E9</v>
      </c>
      <c r="J58" s="39">
        <v>1.760500017192E12</v>
      </c>
      <c r="K58" s="193" t="s">
        <v>1222</v>
      </c>
      <c r="L58" s="29" t="s">
        <v>1223</v>
      </c>
      <c r="M58" s="41" t="s">
        <v>1098</v>
      </c>
      <c r="N58" s="39" t="s">
        <v>72</v>
      </c>
      <c r="O58" s="39" t="s">
        <v>73</v>
      </c>
      <c r="P58" s="42">
        <v>9.56643952E8</v>
      </c>
      <c r="Q58" s="43"/>
      <c r="R58" s="45" t="s">
        <v>34</v>
      </c>
      <c r="S58" s="46"/>
      <c r="T58" s="66" t="s">
        <v>1224</v>
      </c>
      <c r="U58" s="53">
        <v>31240.0</v>
      </c>
      <c r="V58" s="31" t="s">
        <v>77</v>
      </c>
      <c r="W58" s="55">
        <f t="shared" si="2"/>
        <v>41</v>
      </c>
      <c r="X58" s="55" t="s">
        <v>98</v>
      </c>
      <c r="Y58" s="55" t="s">
        <v>428</v>
      </c>
      <c r="Z58" s="55" t="s">
        <v>1225</v>
      </c>
      <c r="AA58" s="55"/>
      <c r="AB58" s="55"/>
      <c r="AC58" s="55"/>
      <c r="AD58" s="55" t="s">
        <v>1226</v>
      </c>
      <c r="AE58" s="55" t="s">
        <v>1227</v>
      </c>
    </row>
    <row r="59">
      <c r="A59" s="103">
        <v>58.0</v>
      </c>
      <c r="B59" s="118" t="s">
        <v>349</v>
      </c>
      <c r="C59" s="26" t="s">
        <v>1228</v>
      </c>
      <c r="D59" s="29" t="s">
        <v>1229</v>
      </c>
      <c r="E59" s="37" t="str">
        <f t="shared" si="1"/>
        <v>ส.อ. คุณวุฒิ พุมมาเกิด</v>
      </c>
      <c r="F59" s="24" t="s">
        <v>353</v>
      </c>
      <c r="G59" s="26" t="s">
        <v>1230</v>
      </c>
      <c r="H59" s="29" t="s">
        <v>1231</v>
      </c>
      <c r="I59" s="39">
        <v>1.560200959E9</v>
      </c>
      <c r="J59" s="39">
        <v>1.709900902159E12</v>
      </c>
      <c r="K59" s="193" t="s">
        <v>1232</v>
      </c>
      <c r="L59" s="29" t="s">
        <v>1233</v>
      </c>
      <c r="M59" s="41" t="s">
        <v>1234</v>
      </c>
      <c r="N59" s="39" t="s">
        <v>72</v>
      </c>
      <c r="O59" s="39" t="s">
        <v>73</v>
      </c>
      <c r="P59" s="42">
        <v>9.7095031E8</v>
      </c>
      <c r="Q59" s="43"/>
      <c r="R59" s="45" t="s">
        <v>34</v>
      </c>
      <c r="S59" s="46"/>
      <c r="T59" s="66" t="s">
        <v>1235</v>
      </c>
      <c r="U59" s="53">
        <v>34549.0</v>
      </c>
      <c r="V59" s="31" t="s">
        <v>77</v>
      </c>
      <c r="W59" s="55">
        <f t="shared" si="2"/>
        <v>32</v>
      </c>
      <c r="X59" s="55" t="s">
        <v>98</v>
      </c>
      <c r="Y59" s="55" t="s">
        <v>428</v>
      </c>
      <c r="Z59" s="55" t="s">
        <v>343</v>
      </c>
      <c r="AA59" s="58" t="s">
        <v>1236</v>
      </c>
      <c r="AB59" s="58" t="s">
        <v>1237</v>
      </c>
      <c r="AC59" s="55"/>
      <c r="AD59" s="55" t="s">
        <v>1238</v>
      </c>
      <c r="AE59" s="55" t="s">
        <v>1239</v>
      </c>
    </row>
    <row r="60">
      <c r="A60" s="103">
        <v>59.0</v>
      </c>
      <c r="B60" s="118" t="s">
        <v>106</v>
      </c>
      <c r="C60" s="26" t="s">
        <v>1240</v>
      </c>
      <c r="D60" s="29" t="s">
        <v>1241</v>
      </c>
      <c r="E60" s="37" t="str">
        <f t="shared" si="1"/>
        <v>จ.ส.อ. เกียรติประวุฒิ เคลิ้มฝัน</v>
      </c>
      <c r="F60" s="24" t="s">
        <v>111</v>
      </c>
      <c r="G60" s="26" t="s">
        <v>1242</v>
      </c>
      <c r="H60" s="29" t="s">
        <v>1243</v>
      </c>
      <c r="I60" s="39">
        <v>1.524900082E9</v>
      </c>
      <c r="J60" s="39">
        <v>1.700700058119E12</v>
      </c>
      <c r="K60" s="193" t="s">
        <v>952</v>
      </c>
      <c r="L60" s="29" t="s">
        <v>564</v>
      </c>
      <c r="M60" s="41" t="s">
        <v>448</v>
      </c>
      <c r="N60" s="39" t="s">
        <v>85</v>
      </c>
      <c r="O60" s="39" t="s">
        <v>73</v>
      </c>
      <c r="P60" s="42" t="s">
        <v>1244</v>
      </c>
      <c r="Q60" s="43"/>
      <c r="R60" s="45" t="s">
        <v>34</v>
      </c>
      <c r="S60" s="46"/>
      <c r="T60" s="66" t="s">
        <v>1245</v>
      </c>
      <c r="U60" s="57">
        <v>32401.0</v>
      </c>
      <c r="V60" s="31" t="s">
        <v>77</v>
      </c>
      <c r="W60" s="55">
        <f t="shared" si="2"/>
        <v>38</v>
      </c>
      <c r="X60" s="55" t="s">
        <v>98</v>
      </c>
      <c r="Y60" s="55" t="s">
        <v>428</v>
      </c>
      <c r="Z60" s="55" t="s">
        <v>1246</v>
      </c>
      <c r="AA60" s="58" t="s">
        <v>1247</v>
      </c>
      <c r="AB60" s="58" t="s">
        <v>1248</v>
      </c>
      <c r="AC60" s="55"/>
      <c r="AD60" s="55" t="s">
        <v>1249</v>
      </c>
      <c r="AE60" s="55" t="s">
        <v>1250</v>
      </c>
    </row>
    <row r="61">
      <c r="A61" s="103">
        <v>60.0</v>
      </c>
      <c r="B61" s="118" t="s">
        <v>106</v>
      </c>
      <c r="C61" s="26" t="s">
        <v>1251</v>
      </c>
      <c r="D61" s="29" t="s">
        <v>1252</v>
      </c>
      <c r="E61" s="37" t="str">
        <f t="shared" si="1"/>
        <v>จ.ส.อ. นคร เรืองสิน</v>
      </c>
      <c r="F61" s="24" t="s">
        <v>111</v>
      </c>
      <c r="G61" s="26" t="s">
        <v>1253</v>
      </c>
      <c r="H61" s="29" t="s">
        <v>1254</v>
      </c>
      <c r="I61" s="39">
        <v>1.533900419E9</v>
      </c>
      <c r="J61" s="39">
        <v>1.769900260807E12</v>
      </c>
      <c r="K61" s="108" t="s">
        <v>990</v>
      </c>
      <c r="L61" s="29" t="s">
        <v>1255</v>
      </c>
      <c r="M61" s="41" t="s">
        <v>975</v>
      </c>
      <c r="N61" s="39" t="s">
        <v>85</v>
      </c>
      <c r="O61" s="39" t="s">
        <v>73</v>
      </c>
      <c r="P61" s="42">
        <v>8.51908432E8</v>
      </c>
      <c r="Q61" s="43"/>
      <c r="R61" s="45" t="s">
        <v>34</v>
      </c>
      <c r="S61" s="46"/>
      <c r="T61" s="66" t="s">
        <v>1256</v>
      </c>
      <c r="U61" s="53">
        <v>33581.0</v>
      </c>
      <c r="V61" s="31" t="s">
        <v>77</v>
      </c>
      <c r="W61" s="55">
        <f t="shared" si="2"/>
        <v>34</v>
      </c>
      <c r="X61" s="55" t="s">
        <v>98</v>
      </c>
      <c r="Y61" s="55" t="s">
        <v>428</v>
      </c>
      <c r="Z61" s="55" t="s">
        <v>1257</v>
      </c>
      <c r="AA61" s="114" t="s">
        <v>1258</v>
      </c>
      <c r="AB61" s="58" t="s">
        <v>1259</v>
      </c>
      <c r="AC61" s="55"/>
      <c r="AD61" s="55" t="s">
        <v>1260</v>
      </c>
      <c r="AE61" s="55" t="s">
        <v>1261</v>
      </c>
    </row>
    <row r="62">
      <c r="A62" s="103">
        <v>61.0</v>
      </c>
      <c r="B62" s="118" t="s">
        <v>349</v>
      </c>
      <c r="C62" s="26" t="s">
        <v>1262</v>
      </c>
      <c r="D62" s="29" t="s">
        <v>1263</v>
      </c>
      <c r="E62" s="37" t="str">
        <f t="shared" si="1"/>
        <v>ส.อ. สรายุทธ์ ศิโรรัตนเกษม</v>
      </c>
      <c r="F62" s="24" t="s">
        <v>353</v>
      </c>
      <c r="G62" s="26" t="s">
        <v>1264</v>
      </c>
      <c r="H62" s="29" t="s">
        <v>1265</v>
      </c>
      <c r="I62" s="39">
        <v>2.513300249E9</v>
      </c>
      <c r="J62" s="39">
        <v>1.10070059783E12</v>
      </c>
      <c r="K62" s="78" t="s">
        <v>1012</v>
      </c>
      <c r="L62" s="29" t="s">
        <v>1266</v>
      </c>
      <c r="M62" s="41" t="s">
        <v>473</v>
      </c>
      <c r="N62" s="39" t="s">
        <v>85</v>
      </c>
      <c r="O62" s="39" t="s">
        <v>73</v>
      </c>
      <c r="P62" s="42">
        <v>6.25059162E8</v>
      </c>
      <c r="Q62" s="43"/>
      <c r="R62" s="45" t="s">
        <v>34</v>
      </c>
      <c r="S62" s="46"/>
      <c r="T62" s="66" t="s">
        <v>1267</v>
      </c>
      <c r="U62" s="57">
        <v>31805.0</v>
      </c>
      <c r="V62" s="31" t="s">
        <v>77</v>
      </c>
      <c r="W62" s="55">
        <f t="shared" si="2"/>
        <v>39</v>
      </c>
      <c r="X62" s="55" t="s">
        <v>98</v>
      </c>
      <c r="Y62" s="55" t="s">
        <v>428</v>
      </c>
      <c r="Z62" s="55" t="s">
        <v>1268</v>
      </c>
      <c r="AA62" s="55"/>
      <c r="AB62" s="55"/>
      <c r="AC62" s="55"/>
      <c r="AD62" s="55" t="s">
        <v>1269</v>
      </c>
      <c r="AE62" s="55" t="s">
        <v>1270</v>
      </c>
    </row>
    <row r="63">
      <c r="A63" s="103">
        <v>62.0</v>
      </c>
      <c r="B63" s="118" t="s">
        <v>349</v>
      </c>
      <c r="C63" s="26" t="s">
        <v>1271</v>
      </c>
      <c r="D63" s="29" t="s">
        <v>1272</v>
      </c>
      <c r="E63" s="37" t="str">
        <f t="shared" si="1"/>
        <v>ส.อ. กฤษณชัย สังข์ประสิทธิ์</v>
      </c>
      <c r="F63" s="24" t="s">
        <v>353</v>
      </c>
      <c r="G63" s="26" t="s">
        <v>1273</v>
      </c>
      <c r="H63" s="29" t="s">
        <v>1274</v>
      </c>
      <c r="I63" s="39">
        <v>1.605900242E9</v>
      </c>
      <c r="J63" s="39">
        <v>1.411000128592E12</v>
      </c>
      <c r="K63" s="195" t="s">
        <v>1012</v>
      </c>
      <c r="L63" s="29" t="s">
        <v>1275</v>
      </c>
      <c r="M63" s="41" t="s">
        <v>1276</v>
      </c>
      <c r="N63" s="39" t="s">
        <v>72</v>
      </c>
      <c r="O63" s="39" t="s">
        <v>73</v>
      </c>
      <c r="P63" s="42">
        <v>9.85538475E8</v>
      </c>
      <c r="Q63" s="43"/>
      <c r="R63" s="45" t="s">
        <v>34</v>
      </c>
      <c r="S63" s="46"/>
      <c r="T63" s="66" t="s">
        <v>1277</v>
      </c>
      <c r="U63" s="53">
        <v>34879.0</v>
      </c>
      <c r="V63" s="31" t="s">
        <v>77</v>
      </c>
      <c r="W63" s="55">
        <f t="shared" si="2"/>
        <v>31</v>
      </c>
      <c r="X63" s="55" t="s">
        <v>98</v>
      </c>
      <c r="Y63" s="55" t="s">
        <v>428</v>
      </c>
      <c r="Z63" s="55" t="s">
        <v>1278</v>
      </c>
      <c r="AA63" s="58" t="s">
        <v>1279</v>
      </c>
      <c r="AB63" s="58" t="s">
        <v>1280</v>
      </c>
      <c r="AC63" s="55"/>
      <c r="AD63" s="55" t="s">
        <v>1281</v>
      </c>
      <c r="AE63" s="55" t="s">
        <v>1282</v>
      </c>
    </row>
    <row r="64">
      <c r="A64" s="103">
        <v>63.0</v>
      </c>
      <c r="B64" s="118" t="s">
        <v>398</v>
      </c>
      <c r="C64" s="26" t="s">
        <v>1283</v>
      </c>
      <c r="D64" s="29" t="s">
        <v>1284</v>
      </c>
      <c r="E64" s="37" t="str">
        <f t="shared" si="1"/>
        <v>จ.ส.ท. ยุทธพล เต่าทอง</v>
      </c>
      <c r="F64" s="24" t="s">
        <v>111</v>
      </c>
      <c r="G64" s="26" t="s">
        <v>1285</v>
      </c>
      <c r="H64" s="29" t="s">
        <v>1286</v>
      </c>
      <c r="I64" s="39">
        <v>1.576001466E9</v>
      </c>
      <c r="J64" s="39">
        <v>1.749900470194E12</v>
      </c>
      <c r="K64" s="193" t="s">
        <v>1056</v>
      </c>
      <c r="L64" s="29" t="s">
        <v>1287</v>
      </c>
      <c r="M64" s="41" t="s">
        <v>880</v>
      </c>
      <c r="N64" s="39" t="s">
        <v>72</v>
      </c>
      <c r="O64" s="39" t="s">
        <v>73</v>
      </c>
      <c r="P64" s="42">
        <v>9.00858382E8</v>
      </c>
      <c r="Q64" s="43"/>
      <c r="R64" s="45" t="s">
        <v>34</v>
      </c>
      <c r="S64" s="46"/>
      <c r="T64" s="66" t="s">
        <v>1288</v>
      </c>
      <c r="U64" s="57">
        <v>35033.0</v>
      </c>
      <c r="V64" s="31" t="s">
        <v>77</v>
      </c>
      <c r="W64" s="55">
        <f t="shared" si="2"/>
        <v>30</v>
      </c>
      <c r="X64" s="55" t="s">
        <v>98</v>
      </c>
      <c r="Y64" s="55" t="s">
        <v>428</v>
      </c>
      <c r="Z64" s="55" t="s">
        <v>1289</v>
      </c>
      <c r="AA64" s="55"/>
      <c r="AB64" s="55"/>
      <c r="AC64" s="55"/>
      <c r="AD64" s="55" t="s">
        <v>1290</v>
      </c>
      <c r="AE64" s="55" t="s">
        <v>1291</v>
      </c>
    </row>
    <row r="65">
      <c r="A65" s="103">
        <v>64.0</v>
      </c>
      <c r="B65" s="118" t="s">
        <v>646</v>
      </c>
      <c r="C65" s="26" t="s">
        <v>1292</v>
      </c>
      <c r="D65" s="29" t="s">
        <v>1293</v>
      </c>
      <c r="E65" s="37" t="str">
        <f t="shared" si="1"/>
        <v>จ.ส.ต. ชยกร พวงประดู่</v>
      </c>
      <c r="F65" s="24" t="s">
        <v>659</v>
      </c>
      <c r="G65" s="26" t="s">
        <v>1294</v>
      </c>
      <c r="H65" s="29" t="s">
        <v>1295</v>
      </c>
      <c r="I65" s="39">
        <v>1.58490002E9</v>
      </c>
      <c r="J65" s="39">
        <v>1.709901063746E12</v>
      </c>
      <c r="K65" s="195" t="s">
        <v>1056</v>
      </c>
      <c r="L65" s="29" t="s">
        <v>1296</v>
      </c>
      <c r="M65" s="41" t="s">
        <v>1297</v>
      </c>
      <c r="N65" s="39" t="s">
        <v>72</v>
      </c>
      <c r="O65" s="39" t="s">
        <v>73</v>
      </c>
      <c r="P65" s="42">
        <v>8.76229948E8</v>
      </c>
      <c r="Q65" s="43"/>
      <c r="R65" s="45" t="s">
        <v>34</v>
      </c>
      <c r="S65" s="46"/>
      <c r="T65" s="66" t="s">
        <v>1298</v>
      </c>
      <c r="U65" s="53">
        <v>35256.0</v>
      </c>
      <c r="V65" s="31" t="s">
        <v>77</v>
      </c>
      <c r="W65" s="55">
        <f t="shared" si="2"/>
        <v>30</v>
      </c>
      <c r="X65" s="55" t="s">
        <v>98</v>
      </c>
      <c r="Y65" s="55" t="s">
        <v>428</v>
      </c>
      <c r="Z65" s="55" t="s">
        <v>1299</v>
      </c>
      <c r="AA65" s="55"/>
      <c r="AB65" s="55"/>
      <c r="AC65" s="55"/>
      <c r="AD65" s="55" t="s">
        <v>1300</v>
      </c>
      <c r="AE65" s="55" t="s">
        <v>1301</v>
      </c>
    </row>
    <row r="66">
      <c r="A66" s="103">
        <v>65.0</v>
      </c>
      <c r="B66" s="118" t="s">
        <v>106</v>
      </c>
      <c r="C66" s="26" t="s">
        <v>1302</v>
      </c>
      <c r="D66" s="29" t="s">
        <v>1303</v>
      </c>
      <c r="E66" s="37" t="str">
        <f t="shared" si="1"/>
        <v>จ.ส.อ. ธนัทเดช สีไสว</v>
      </c>
      <c r="F66" s="24" t="s">
        <v>111</v>
      </c>
      <c r="G66" s="26" t="s">
        <v>1304</v>
      </c>
      <c r="H66" s="29" t="s">
        <v>1305</v>
      </c>
      <c r="I66" s="39">
        <v>1.37050085E9</v>
      </c>
      <c r="J66" s="39">
        <v>3.401000278728E12</v>
      </c>
      <c r="K66" s="78" t="s">
        <v>1306</v>
      </c>
      <c r="L66" s="29" t="s">
        <v>1307</v>
      </c>
      <c r="M66" s="41" t="s">
        <v>1308</v>
      </c>
      <c r="N66" s="39" t="s">
        <v>85</v>
      </c>
      <c r="O66" s="39" t="s">
        <v>73</v>
      </c>
      <c r="P66" s="42">
        <v>9.86261743E8</v>
      </c>
      <c r="Q66" s="43"/>
      <c r="R66" s="45" t="s">
        <v>34</v>
      </c>
      <c r="S66" s="46"/>
      <c r="T66" s="66" t="s">
        <v>1309</v>
      </c>
      <c r="U66" s="53">
        <v>27507.0</v>
      </c>
      <c r="V66" s="31" t="s">
        <v>77</v>
      </c>
      <c r="W66" s="55">
        <f t="shared" si="2"/>
        <v>51</v>
      </c>
      <c r="X66" s="55" t="s">
        <v>98</v>
      </c>
      <c r="Y66" s="55" t="s">
        <v>428</v>
      </c>
      <c r="Z66" s="55" t="s">
        <v>1310</v>
      </c>
      <c r="AA66" s="58" t="s">
        <v>1311</v>
      </c>
      <c r="AB66" s="58" t="s">
        <v>1312</v>
      </c>
      <c r="AC66" s="55"/>
      <c r="AD66" s="55" t="s">
        <v>1313</v>
      </c>
      <c r="AE66" s="55" t="s">
        <v>1314</v>
      </c>
    </row>
    <row r="67">
      <c r="A67" s="103">
        <v>66.0</v>
      </c>
      <c r="B67" s="196" t="s">
        <v>109</v>
      </c>
      <c r="C67" s="72" t="s">
        <v>419</v>
      </c>
      <c r="D67" s="72" t="s">
        <v>420</v>
      </c>
      <c r="E67" s="37" t="str">
        <f t="shared" si="1"/>
        <v>ร.อ. ทินกร พงษ์นฤนาถ</v>
      </c>
      <c r="F67" s="98" t="s">
        <v>115</v>
      </c>
      <c r="G67" s="72" t="s">
        <v>421</v>
      </c>
      <c r="H67" s="50" t="s">
        <v>422</v>
      </c>
      <c r="I67" s="77">
        <v>1.522700855E9</v>
      </c>
      <c r="J67" s="77">
        <v>1.309800101735E12</v>
      </c>
      <c r="K67" s="108" t="s">
        <v>392</v>
      </c>
      <c r="L67" s="197" t="s">
        <v>1315</v>
      </c>
      <c r="M67" s="41" t="s">
        <v>1316</v>
      </c>
      <c r="N67" s="110" t="s">
        <v>85</v>
      </c>
      <c r="O67" s="111" t="s">
        <v>426</v>
      </c>
      <c r="P67" s="198" t="s">
        <v>1317</v>
      </c>
      <c r="Q67" s="113"/>
      <c r="R67" s="115" t="s">
        <v>41</v>
      </c>
      <c r="S67" s="116"/>
      <c r="T67" s="66" t="s">
        <v>1318</v>
      </c>
      <c r="U67" s="53">
        <v>32428.0</v>
      </c>
      <c r="V67" s="31" t="s">
        <v>77</v>
      </c>
      <c r="W67" s="55">
        <f t="shared" si="2"/>
        <v>37</v>
      </c>
      <c r="X67" s="55" t="s">
        <v>98</v>
      </c>
      <c r="Y67" s="55" t="s">
        <v>99</v>
      </c>
      <c r="Z67" s="55" t="s">
        <v>1319</v>
      </c>
      <c r="AA67" s="58" t="s">
        <v>1320</v>
      </c>
      <c r="AB67" s="58" t="s">
        <v>1321</v>
      </c>
      <c r="AC67" s="55"/>
      <c r="AD67" s="55" t="s">
        <v>1322</v>
      </c>
      <c r="AE67" s="55" t="s">
        <v>1323</v>
      </c>
    </row>
    <row r="68">
      <c r="A68" s="103">
        <v>67.0</v>
      </c>
      <c r="B68" s="74" t="s">
        <v>106</v>
      </c>
      <c r="C68" s="145" t="s">
        <v>699</v>
      </c>
      <c r="D68" s="147" t="s">
        <v>1324</v>
      </c>
      <c r="E68" s="37" t="str">
        <f t="shared" si="1"/>
        <v>จ.ส.อ. มงคล มะรังษี</v>
      </c>
      <c r="F68" s="75" t="s">
        <v>111</v>
      </c>
      <c r="G68" s="145" t="s">
        <v>1325</v>
      </c>
      <c r="H68" s="147" t="s">
        <v>1326</v>
      </c>
      <c r="I68" s="121">
        <v>1.544900359E9</v>
      </c>
      <c r="J68" s="121">
        <v>1.70990053821E12</v>
      </c>
      <c r="K68" s="193" t="s">
        <v>542</v>
      </c>
      <c r="L68" s="145" t="s">
        <v>1327</v>
      </c>
      <c r="M68" s="41" t="s">
        <v>921</v>
      </c>
      <c r="N68" s="151" t="s">
        <v>188</v>
      </c>
      <c r="O68" s="39" t="s">
        <v>426</v>
      </c>
      <c r="P68" s="42">
        <v>8.80940852E8</v>
      </c>
      <c r="R68" s="115" t="s">
        <v>41</v>
      </c>
      <c r="S68" s="116"/>
      <c r="T68" s="66" t="s">
        <v>1328</v>
      </c>
      <c r="U68" s="53">
        <v>33029.0</v>
      </c>
      <c r="V68" s="31" t="s">
        <v>77</v>
      </c>
      <c r="W68" s="55">
        <f t="shared" si="2"/>
        <v>36</v>
      </c>
      <c r="X68" s="55" t="s">
        <v>98</v>
      </c>
      <c r="Y68" s="55" t="s">
        <v>428</v>
      </c>
      <c r="Z68" s="55" t="s">
        <v>1329</v>
      </c>
      <c r="AA68" s="55"/>
      <c r="AB68" s="55"/>
      <c r="AC68" s="55"/>
      <c r="AD68" s="55" t="s">
        <v>1330</v>
      </c>
      <c r="AE68" s="55" t="s">
        <v>1331</v>
      </c>
    </row>
    <row r="69">
      <c r="A69" s="103">
        <v>68.0</v>
      </c>
      <c r="B69" s="196" t="s">
        <v>106</v>
      </c>
      <c r="C69" s="72" t="s">
        <v>1332</v>
      </c>
      <c r="D69" s="72" t="s">
        <v>1333</v>
      </c>
      <c r="E69" s="37" t="str">
        <f t="shared" si="1"/>
        <v>จ.ส.อ. โอภาส มากรักษา</v>
      </c>
      <c r="F69" s="201" t="s">
        <v>111</v>
      </c>
      <c r="G69" s="72" t="s">
        <v>1334</v>
      </c>
      <c r="H69" s="50" t="s">
        <v>1335</v>
      </c>
      <c r="I69" s="77">
        <v>1.566001232E9</v>
      </c>
      <c r="J69" s="77">
        <v>1.102200130161E12</v>
      </c>
      <c r="K69" s="108" t="s">
        <v>841</v>
      </c>
      <c r="L69" s="72" t="s">
        <v>1327</v>
      </c>
      <c r="M69" s="41" t="s">
        <v>1336</v>
      </c>
      <c r="N69" s="77" t="s">
        <v>188</v>
      </c>
      <c r="O69" s="111" t="s">
        <v>426</v>
      </c>
      <c r="P69" s="112">
        <v>6.32203399E8</v>
      </c>
      <c r="Q69" s="113"/>
      <c r="R69" s="115" t="s">
        <v>41</v>
      </c>
      <c r="S69" s="116"/>
      <c r="T69" s="66" t="s">
        <v>1337</v>
      </c>
      <c r="U69" s="53">
        <v>34761.0</v>
      </c>
      <c r="V69" s="31" t="s">
        <v>77</v>
      </c>
      <c r="W69" s="55">
        <f t="shared" si="2"/>
        <v>31</v>
      </c>
      <c r="X69" s="55" t="s">
        <v>98</v>
      </c>
      <c r="Y69" s="55" t="s">
        <v>428</v>
      </c>
      <c r="Z69" s="55" t="s">
        <v>1338</v>
      </c>
      <c r="AA69" s="58" t="s">
        <v>1339</v>
      </c>
      <c r="AB69" s="58" t="s">
        <v>1340</v>
      </c>
      <c r="AC69" s="55"/>
      <c r="AD69" s="55" t="s">
        <v>1341</v>
      </c>
      <c r="AE69" s="55" t="s">
        <v>1342</v>
      </c>
    </row>
    <row r="70">
      <c r="A70" s="103">
        <v>69.0</v>
      </c>
      <c r="B70" s="196" t="s">
        <v>106</v>
      </c>
      <c r="C70" s="148" t="s">
        <v>1343</v>
      </c>
      <c r="D70" s="148" t="s">
        <v>1344</v>
      </c>
      <c r="E70" s="37" t="str">
        <f t="shared" si="1"/>
        <v>จ.ส.อ. พิชชากร สมนาค</v>
      </c>
      <c r="F70" s="201" t="s">
        <v>111</v>
      </c>
      <c r="G70" s="148" t="s">
        <v>1345</v>
      </c>
      <c r="H70" s="142" t="s">
        <v>1346</v>
      </c>
      <c r="I70" s="150">
        <v>1.550200547E9</v>
      </c>
      <c r="J70" s="150">
        <v>1.710500241033E12</v>
      </c>
      <c r="K70" s="195" t="s">
        <v>861</v>
      </c>
      <c r="L70" s="148" t="s">
        <v>1327</v>
      </c>
      <c r="M70" s="41" t="s">
        <v>954</v>
      </c>
      <c r="N70" s="202" t="s">
        <v>155</v>
      </c>
      <c r="O70" s="111" t="s">
        <v>426</v>
      </c>
      <c r="P70" s="112">
        <v>9.27374822E8</v>
      </c>
      <c r="Q70" s="113"/>
      <c r="R70" s="115" t="s">
        <v>41</v>
      </c>
      <c r="S70" s="116"/>
      <c r="T70" s="66" t="s">
        <v>1347</v>
      </c>
      <c r="U70" s="53">
        <v>34368.0</v>
      </c>
      <c r="V70" s="31" t="s">
        <v>77</v>
      </c>
      <c r="W70" s="55">
        <f t="shared" si="2"/>
        <v>32</v>
      </c>
      <c r="X70" s="55" t="s">
        <v>98</v>
      </c>
      <c r="Y70" s="55" t="s">
        <v>428</v>
      </c>
      <c r="Z70" s="55" t="s">
        <v>1348</v>
      </c>
      <c r="AA70" s="58" t="s">
        <v>1349</v>
      </c>
      <c r="AB70" s="58" t="s">
        <v>1350</v>
      </c>
      <c r="AC70" s="55"/>
      <c r="AD70" s="55" t="s">
        <v>1351</v>
      </c>
      <c r="AE70" s="55" t="s">
        <v>1352</v>
      </c>
    </row>
    <row r="71">
      <c r="A71" s="103">
        <v>70.0</v>
      </c>
      <c r="B71" s="104" t="s">
        <v>349</v>
      </c>
      <c r="C71" s="148" t="s">
        <v>1353</v>
      </c>
      <c r="D71" s="142" t="s">
        <v>1354</v>
      </c>
      <c r="E71" s="37" t="str">
        <f t="shared" si="1"/>
        <v>ส.อ. ชุติพนธ์ กลิ่นสุคนธ์</v>
      </c>
      <c r="F71" s="76" t="s">
        <v>353</v>
      </c>
      <c r="G71" s="72" t="s">
        <v>1355</v>
      </c>
      <c r="H71" s="50" t="s">
        <v>1356</v>
      </c>
      <c r="I71" s="110">
        <v>1.560201058E9</v>
      </c>
      <c r="J71" s="111">
        <v>1.719900345225E12</v>
      </c>
      <c r="K71" s="193" t="s">
        <v>861</v>
      </c>
      <c r="L71" s="50" t="s">
        <v>1357</v>
      </c>
      <c r="M71" s="41" t="s">
        <v>1358</v>
      </c>
      <c r="N71" s="77" t="s">
        <v>85</v>
      </c>
      <c r="O71" s="111" t="s">
        <v>426</v>
      </c>
      <c r="P71" s="112">
        <v>9.26684359E8</v>
      </c>
      <c r="Q71" s="113"/>
      <c r="R71" s="115" t="s">
        <v>41</v>
      </c>
      <c r="S71" s="116"/>
      <c r="T71" s="66" t="s">
        <v>1359</v>
      </c>
      <c r="U71" s="53">
        <v>34609.0</v>
      </c>
      <c r="V71" s="31" t="s">
        <v>77</v>
      </c>
      <c r="W71" s="55">
        <f t="shared" si="2"/>
        <v>32</v>
      </c>
      <c r="X71" s="55" t="s">
        <v>98</v>
      </c>
      <c r="Y71" s="55" t="s">
        <v>428</v>
      </c>
      <c r="Z71" s="55" t="s">
        <v>1360</v>
      </c>
      <c r="AA71" s="58" t="s">
        <v>1361</v>
      </c>
      <c r="AB71" s="58" t="s">
        <v>1362</v>
      </c>
      <c r="AC71" s="55"/>
      <c r="AD71" s="55" t="s">
        <v>1363</v>
      </c>
      <c r="AE71" s="55" t="s">
        <v>1364</v>
      </c>
    </row>
    <row r="72">
      <c r="A72" s="103">
        <v>71.0</v>
      </c>
      <c r="B72" s="104" t="s">
        <v>106</v>
      </c>
      <c r="C72" s="26" t="s">
        <v>1365</v>
      </c>
      <c r="D72" s="26" t="s">
        <v>1366</v>
      </c>
      <c r="E72" s="37" t="str">
        <f t="shared" si="1"/>
        <v>จ.ส.อ. สุชาติ ฟากวิลัย</v>
      </c>
      <c r="F72" s="118" t="s">
        <v>111</v>
      </c>
      <c r="G72" s="26" t="s">
        <v>1367</v>
      </c>
      <c r="H72" s="26" t="s">
        <v>1368</v>
      </c>
      <c r="I72" s="22">
        <v>1.411002048E9</v>
      </c>
      <c r="J72" s="39">
        <v>3.360700380738E12</v>
      </c>
      <c r="K72" s="195" t="s">
        <v>899</v>
      </c>
      <c r="L72" s="26" t="s">
        <v>899</v>
      </c>
      <c r="M72" s="41" t="s">
        <v>1369</v>
      </c>
      <c r="N72" s="39" t="s">
        <v>72</v>
      </c>
      <c r="O72" s="111" t="s">
        <v>426</v>
      </c>
      <c r="P72" s="203">
        <v>8.61301544E8</v>
      </c>
      <c r="Q72" s="113"/>
      <c r="R72" s="115" t="s">
        <v>41</v>
      </c>
      <c r="S72" s="116"/>
      <c r="T72" s="66" t="s">
        <v>1370</v>
      </c>
      <c r="U72" s="53">
        <v>29074.0</v>
      </c>
      <c r="V72" s="31" t="s">
        <v>77</v>
      </c>
      <c r="W72" s="55">
        <f t="shared" si="2"/>
        <v>47</v>
      </c>
      <c r="X72" s="55" t="s">
        <v>98</v>
      </c>
      <c r="Y72" s="55" t="s">
        <v>428</v>
      </c>
      <c r="Z72" s="55" t="s">
        <v>1371</v>
      </c>
      <c r="AA72" s="58" t="s">
        <v>1372</v>
      </c>
      <c r="AB72" s="58" t="s">
        <v>1373</v>
      </c>
      <c r="AC72" s="55"/>
      <c r="AD72" s="55" t="s">
        <v>1374</v>
      </c>
      <c r="AE72" s="55" t="s">
        <v>1375</v>
      </c>
    </row>
    <row r="73">
      <c r="A73" s="103">
        <v>72.0</v>
      </c>
      <c r="B73" s="118" t="s">
        <v>349</v>
      </c>
      <c r="C73" s="148" t="s">
        <v>1376</v>
      </c>
      <c r="D73" s="142" t="s">
        <v>1377</v>
      </c>
      <c r="E73" s="37" t="str">
        <f t="shared" si="1"/>
        <v>ส.อ. ยุทธนา ปิโย</v>
      </c>
      <c r="F73" s="76" t="s">
        <v>353</v>
      </c>
      <c r="G73" s="72" t="s">
        <v>1378</v>
      </c>
      <c r="H73" s="50" t="s">
        <v>1379</v>
      </c>
      <c r="I73" s="77">
        <v>1.560201636E9</v>
      </c>
      <c r="J73" s="77">
        <v>1.719900337001E12</v>
      </c>
      <c r="K73" s="108" t="s">
        <v>1380</v>
      </c>
      <c r="L73" s="72" t="s">
        <v>1381</v>
      </c>
      <c r="M73" s="41" t="s">
        <v>1382</v>
      </c>
      <c r="N73" s="77" t="s">
        <v>85</v>
      </c>
      <c r="O73" s="111" t="s">
        <v>426</v>
      </c>
      <c r="P73" s="112">
        <v>6.35952649E8</v>
      </c>
      <c r="Q73" s="113"/>
      <c r="R73" s="115" t="s">
        <v>41</v>
      </c>
      <c r="S73" s="116"/>
      <c r="T73" s="66" t="s">
        <v>1383</v>
      </c>
      <c r="U73" s="53">
        <v>34513.0</v>
      </c>
      <c r="V73" s="31" t="s">
        <v>77</v>
      </c>
      <c r="W73" s="55">
        <f t="shared" si="2"/>
        <v>32</v>
      </c>
      <c r="X73" s="55" t="s">
        <v>98</v>
      </c>
      <c r="Y73" s="55" t="s">
        <v>428</v>
      </c>
      <c r="Z73" s="55" t="s">
        <v>1384</v>
      </c>
      <c r="AA73" s="58" t="s">
        <v>1385</v>
      </c>
      <c r="AB73" s="58" t="s">
        <v>1386</v>
      </c>
      <c r="AC73" s="55"/>
      <c r="AD73" s="55" t="s">
        <v>1387</v>
      </c>
      <c r="AE73" s="55" t="s">
        <v>1388</v>
      </c>
    </row>
    <row r="74">
      <c r="A74" s="103">
        <v>73.0</v>
      </c>
      <c r="B74" s="118" t="s">
        <v>106</v>
      </c>
      <c r="C74" s="26" t="s">
        <v>1389</v>
      </c>
      <c r="D74" s="26" t="s">
        <v>1390</v>
      </c>
      <c r="E74" s="37" t="str">
        <f t="shared" si="1"/>
        <v>จ.ส.อ. กิตติภูมิ อ้อชัยภูมิ</v>
      </c>
      <c r="F74" s="146" t="s">
        <v>111</v>
      </c>
      <c r="G74" s="26" t="s">
        <v>1391</v>
      </c>
      <c r="H74" s="29" t="s">
        <v>1392</v>
      </c>
      <c r="I74" s="39">
        <v>1.430201047E9</v>
      </c>
      <c r="J74" s="39">
        <v>5.301500049466E12</v>
      </c>
      <c r="K74" s="193" t="s">
        <v>1393</v>
      </c>
      <c r="L74" s="26" t="s">
        <v>1394</v>
      </c>
      <c r="M74" s="41" t="s">
        <v>940</v>
      </c>
      <c r="N74" s="15" t="s">
        <v>85</v>
      </c>
      <c r="O74" s="111" t="s">
        <v>426</v>
      </c>
      <c r="P74" s="112">
        <v>8.00238737E8</v>
      </c>
      <c r="Q74" s="113"/>
      <c r="R74" s="115" t="s">
        <v>41</v>
      </c>
      <c r="S74" s="116"/>
      <c r="T74" s="66" t="s">
        <v>1395</v>
      </c>
      <c r="U74" s="57">
        <v>29947.0</v>
      </c>
      <c r="V74" s="31" t="s">
        <v>77</v>
      </c>
      <c r="W74" s="55">
        <f t="shared" si="2"/>
        <v>44</v>
      </c>
      <c r="X74" s="55" t="s">
        <v>98</v>
      </c>
      <c r="Y74" s="55" t="s">
        <v>428</v>
      </c>
      <c r="Z74" s="55" t="s">
        <v>1396</v>
      </c>
      <c r="AA74" s="58" t="s">
        <v>1397</v>
      </c>
      <c r="AB74" s="58" t="s">
        <v>1398</v>
      </c>
      <c r="AC74" s="55"/>
      <c r="AD74" s="55" t="s">
        <v>1399</v>
      </c>
      <c r="AE74" s="55" t="s">
        <v>1400</v>
      </c>
    </row>
    <row r="75">
      <c r="A75" s="103">
        <v>74.0</v>
      </c>
      <c r="B75" s="118" t="s">
        <v>349</v>
      </c>
      <c r="C75" s="83" t="s">
        <v>1401</v>
      </c>
      <c r="D75" s="86" t="s">
        <v>1402</v>
      </c>
      <c r="E75" s="37" t="str">
        <f t="shared" si="1"/>
        <v>ส.อ. ธนวัฒน์ อ่วมเรืองรอง</v>
      </c>
      <c r="F75" s="76" t="s">
        <v>353</v>
      </c>
      <c r="G75" s="72" t="s">
        <v>1403</v>
      </c>
      <c r="H75" s="50" t="s">
        <v>1404</v>
      </c>
      <c r="I75" s="110">
        <v>1.576000562E9</v>
      </c>
      <c r="J75" s="111">
        <v>1.74030008449E12</v>
      </c>
      <c r="K75" s="195" t="s">
        <v>952</v>
      </c>
      <c r="L75" s="50" t="s">
        <v>1405</v>
      </c>
      <c r="M75" s="41" t="s">
        <v>1382</v>
      </c>
      <c r="N75" s="39" t="s">
        <v>72</v>
      </c>
      <c r="O75" s="111" t="s">
        <v>426</v>
      </c>
      <c r="P75" s="112">
        <v>6.59456749E8</v>
      </c>
      <c r="Q75" s="113"/>
      <c r="R75" s="115" t="s">
        <v>41</v>
      </c>
      <c r="S75" s="116"/>
      <c r="T75" s="66" t="s">
        <v>1406</v>
      </c>
      <c r="U75" s="53">
        <v>33310.0</v>
      </c>
      <c r="V75" s="31" t="s">
        <v>77</v>
      </c>
      <c r="W75" s="55">
        <f t="shared" si="2"/>
        <v>35</v>
      </c>
      <c r="X75" s="55" t="s">
        <v>98</v>
      </c>
      <c r="Y75" s="55" t="s">
        <v>428</v>
      </c>
      <c r="Z75" s="55" t="s">
        <v>187</v>
      </c>
      <c r="AA75" s="58" t="s">
        <v>1407</v>
      </c>
      <c r="AB75" s="58" t="s">
        <v>1408</v>
      </c>
      <c r="AC75" s="55"/>
      <c r="AD75" s="55" t="s">
        <v>1409</v>
      </c>
      <c r="AE75" s="55" t="s">
        <v>1410</v>
      </c>
    </row>
    <row r="76">
      <c r="A76" s="103">
        <v>75.0</v>
      </c>
      <c r="B76" s="118" t="s">
        <v>106</v>
      </c>
      <c r="C76" s="148" t="s">
        <v>1411</v>
      </c>
      <c r="D76" s="142" t="s">
        <v>1412</v>
      </c>
      <c r="E76" s="37" t="str">
        <f t="shared" si="1"/>
        <v>จ.ส.อ. นิพนธ์ ชีวานันท์</v>
      </c>
      <c r="F76" s="139" t="s">
        <v>111</v>
      </c>
      <c r="G76" s="148" t="s">
        <v>1413</v>
      </c>
      <c r="H76" s="142" t="s">
        <v>1414</v>
      </c>
      <c r="I76" s="150">
        <v>1.390900731E9</v>
      </c>
      <c r="J76" s="150">
        <v>3.180200212986E12</v>
      </c>
      <c r="K76" s="78" t="s">
        <v>973</v>
      </c>
      <c r="L76" s="72" t="s">
        <v>1394</v>
      </c>
      <c r="M76" s="41" t="s">
        <v>1415</v>
      </c>
      <c r="N76" s="202" t="s">
        <v>188</v>
      </c>
      <c r="O76" s="111" t="s">
        <v>426</v>
      </c>
      <c r="P76" s="112">
        <v>8.95220667E8</v>
      </c>
      <c r="Q76" s="113"/>
      <c r="R76" s="115" t="s">
        <v>41</v>
      </c>
      <c r="S76" s="116"/>
      <c r="T76" s="66" t="s">
        <v>1416</v>
      </c>
      <c r="U76" s="53">
        <v>28265.0</v>
      </c>
      <c r="V76" s="31" t="s">
        <v>77</v>
      </c>
      <c r="W76" s="55">
        <f t="shared" si="2"/>
        <v>49</v>
      </c>
      <c r="X76" s="55" t="s">
        <v>98</v>
      </c>
      <c r="Y76" s="55" t="s">
        <v>428</v>
      </c>
      <c r="Z76" s="55" t="s">
        <v>1417</v>
      </c>
      <c r="AA76" s="58" t="s">
        <v>1418</v>
      </c>
      <c r="AB76" s="58" t="s">
        <v>1419</v>
      </c>
      <c r="AC76" s="55"/>
      <c r="AD76" s="55" t="s">
        <v>1420</v>
      </c>
      <c r="AE76" s="55" t="s">
        <v>1421</v>
      </c>
    </row>
    <row r="77">
      <c r="A77" s="103">
        <v>76.0</v>
      </c>
      <c r="B77" s="118" t="s">
        <v>106</v>
      </c>
      <c r="C77" s="83" t="s">
        <v>1422</v>
      </c>
      <c r="D77" s="86" t="s">
        <v>1423</v>
      </c>
      <c r="E77" s="37" t="str">
        <f t="shared" si="1"/>
        <v>จ.ส.อ. ศุภฤกษ์ ปูนจีน</v>
      </c>
      <c r="F77" s="139" t="s">
        <v>111</v>
      </c>
      <c r="G77" s="26" t="s">
        <v>1424</v>
      </c>
      <c r="H77" s="29" t="s">
        <v>1425</v>
      </c>
      <c r="I77" s="110">
        <v>1.394901349E9</v>
      </c>
      <c r="J77" s="111">
        <v>3.700701116631E12</v>
      </c>
      <c r="K77" s="78" t="s">
        <v>1426</v>
      </c>
      <c r="L77" s="50" t="s">
        <v>1427</v>
      </c>
      <c r="M77" s="41" t="s">
        <v>1098</v>
      </c>
      <c r="N77" s="77" t="s">
        <v>85</v>
      </c>
      <c r="O77" s="111" t="s">
        <v>426</v>
      </c>
      <c r="P77" s="112">
        <v>8.18587067E8</v>
      </c>
      <c r="Q77" s="113"/>
      <c r="R77" s="115" t="s">
        <v>41</v>
      </c>
      <c r="S77" s="116"/>
      <c r="T77" s="66" t="s">
        <v>1428</v>
      </c>
      <c r="U77" s="57">
        <v>28628.0</v>
      </c>
      <c r="V77" s="31" t="s">
        <v>77</v>
      </c>
      <c r="W77" s="55">
        <f t="shared" si="2"/>
        <v>48</v>
      </c>
      <c r="X77" s="55" t="s">
        <v>98</v>
      </c>
      <c r="Y77" s="55" t="s">
        <v>428</v>
      </c>
      <c r="Z77" s="55" t="s">
        <v>1429</v>
      </c>
      <c r="AA77" s="58" t="s">
        <v>1430</v>
      </c>
      <c r="AB77" s="58" t="s">
        <v>1431</v>
      </c>
      <c r="AC77" s="55"/>
      <c r="AD77" s="55" t="s">
        <v>1432</v>
      </c>
      <c r="AE77" s="55" t="s">
        <v>1433</v>
      </c>
    </row>
    <row r="78">
      <c r="A78" s="103">
        <v>77.0</v>
      </c>
      <c r="B78" s="85" t="s">
        <v>106</v>
      </c>
      <c r="C78" s="148" t="s">
        <v>1434</v>
      </c>
      <c r="D78" s="142" t="s">
        <v>1435</v>
      </c>
      <c r="E78" s="37" t="str">
        <f t="shared" si="1"/>
        <v>จ.ส.อ. เกียรติศักดิ์ บรรจบลาภ</v>
      </c>
      <c r="F78" s="139" t="s">
        <v>111</v>
      </c>
      <c r="G78" s="148" t="s">
        <v>1436</v>
      </c>
      <c r="H78" s="142" t="s">
        <v>1437</v>
      </c>
      <c r="I78" s="150">
        <v>1.554601513E9</v>
      </c>
      <c r="J78" s="150">
        <v>1.449900307644E12</v>
      </c>
      <c r="K78" s="40" t="s">
        <v>1012</v>
      </c>
      <c r="L78" s="148" t="s">
        <v>1438</v>
      </c>
      <c r="M78" s="41" t="s">
        <v>954</v>
      </c>
      <c r="N78" s="202" t="s">
        <v>72</v>
      </c>
      <c r="O78" s="111" t="s">
        <v>426</v>
      </c>
      <c r="P78" s="112">
        <v>6.24721527E8</v>
      </c>
      <c r="Q78" s="113"/>
      <c r="R78" s="115" t="s">
        <v>41</v>
      </c>
      <c r="S78" s="116"/>
      <c r="T78" s="66" t="s">
        <v>1439</v>
      </c>
      <c r="U78" s="57">
        <v>34417.0</v>
      </c>
      <c r="V78" s="31" t="s">
        <v>77</v>
      </c>
      <c r="W78" s="55">
        <f t="shared" si="2"/>
        <v>32</v>
      </c>
      <c r="X78" s="55" t="s">
        <v>98</v>
      </c>
      <c r="Y78" s="55" t="s">
        <v>428</v>
      </c>
      <c r="Z78" s="55" t="s">
        <v>1440</v>
      </c>
      <c r="AA78" s="114" t="s">
        <v>1441</v>
      </c>
      <c r="AB78" s="58" t="s">
        <v>1442</v>
      </c>
      <c r="AC78" s="55"/>
      <c r="AD78" s="55" t="s">
        <v>1443</v>
      </c>
      <c r="AE78" s="55" t="s">
        <v>1444</v>
      </c>
    </row>
    <row r="79">
      <c r="A79" s="103">
        <v>78.0</v>
      </c>
      <c r="B79" s="146" t="s">
        <v>106</v>
      </c>
      <c r="C79" s="148" t="s">
        <v>1445</v>
      </c>
      <c r="D79" s="142" t="s">
        <v>1446</v>
      </c>
      <c r="E79" s="102" t="str">
        <f t="shared" si="1"/>
        <v>จ.ส.อ. นิรุทธ เชื้อเช้า</v>
      </c>
      <c r="F79" s="139" t="s">
        <v>111</v>
      </c>
      <c r="G79" s="148" t="s">
        <v>1447</v>
      </c>
      <c r="H79" s="142" t="s">
        <v>1448</v>
      </c>
      <c r="I79" s="150">
        <v>1.406400223E9</v>
      </c>
      <c r="J79" s="150">
        <v>3.720500049848E12</v>
      </c>
      <c r="K79" s="195" t="s">
        <v>1449</v>
      </c>
      <c r="L79" s="148" t="s">
        <v>1450</v>
      </c>
      <c r="M79" s="41" t="s">
        <v>1451</v>
      </c>
      <c r="N79" s="202" t="s">
        <v>155</v>
      </c>
      <c r="O79" s="111" t="s">
        <v>426</v>
      </c>
      <c r="P79" s="112">
        <v>9.94645241E8</v>
      </c>
      <c r="Q79" s="113"/>
      <c r="R79" s="115" t="s">
        <v>41</v>
      </c>
      <c r="S79" s="116"/>
      <c r="T79" s="51" t="s">
        <v>1452</v>
      </c>
      <c r="U79" s="53">
        <v>28087.0</v>
      </c>
      <c r="V79" s="31" t="s">
        <v>77</v>
      </c>
      <c r="W79" s="55">
        <f t="shared" si="2"/>
        <v>49</v>
      </c>
      <c r="X79" s="55" t="s">
        <v>98</v>
      </c>
      <c r="Y79" s="55" t="s">
        <v>428</v>
      </c>
      <c r="Z79" s="55" t="s">
        <v>1453</v>
      </c>
      <c r="AA79" s="58" t="s">
        <v>1454</v>
      </c>
      <c r="AB79" s="58" t="s">
        <v>1455</v>
      </c>
      <c r="AC79" s="55"/>
      <c r="AD79" s="55" t="s">
        <v>1456</v>
      </c>
      <c r="AE79" s="55" t="s">
        <v>1457</v>
      </c>
    </row>
    <row r="80">
      <c r="A80" s="103">
        <v>79.0</v>
      </c>
      <c r="B80" s="204" t="s">
        <v>349</v>
      </c>
      <c r="C80" s="72" t="s">
        <v>1458</v>
      </c>
      <c r="D80" s="50" t="s">
        <v>1459</v>
      </c>
      <c r="E80" s="37" t="str">
        <f t="shared" si="1"/>
        <v>ส.อ. อำนาจ เกิดละมูล</v>
      </c>
      <c r="F80" s="205" t="s">
        <v>353</v>
      </c>
      <c r="G80" s="148" t="s">
        <v>1460</v>
      </c>
      <c r="H80" s="50" t="s">
        <v>1461</v>
      </c>
      <c r="I80" s="77">
        <v>1.6149004E9</v>
      </c>
      <c r="J80" s="77">
        <v>1.709800293401E12</v>
      </c>
      <c r="K80" s="195" t="s">
        <v>1462</v>
      </c>
      <c r="L80" s="72" t="s">
        <v>1381</v>
      </c>
      <c r="M80" s="41" t="s">
        <v>1463</v>
      </c>
      <c r="N80" s="77" t="s">
        <v>85</v>
      </c>
      <c r="O80" s="111" t="s">
        <v>426</v>
      </c>
      <c r="P80" s="203">
        <v>6.14708378E8</v>
      </c>
      <c r="Q80" s="113"/>
      <c r="R80" s="115" t="s">
        <v>41</v>
      </c>
      <c r="S80" s="116"/>
      <c r="T80" s="66" t="s">
        <v>1464</v>
      </c>
      <c r="U80" s="57">
        <v>35792.0</v>
      </c>
      <c r="V80" s="31" t="s">
        <v>77</v>
      </c>
      <c r="W80" s="55">
        <f t="shared" si="2"/>
        <v>28</v>
      </c>
      <c r="X80" s="55" t="s">
        <v>98</v>
      </c>
      <c r="Y80" s="55" t="s">
        <v>428</v>
      </c>
      <c r="Z80" s="55" t="s">
        <v>1289</v>
      </c>
      <c r="AA80" s="58" t="s">
        <v>1465</v>
      </c>
      <c r="AB80" s="58" t="s">
        <v>1466</v>
      </c>
      <c r="AC80" s="55"/>
      <c r="AD80" s="55" t="s">
        <v>1467</v>
      </c>
      <c r="AE80" s="55" t="s">
        <v>1468</v>
      </c>
    </row>
    <row r="81">
      <c r="A81" s="103">
        <v>80.0</v>
      </c>
      <c r="B81" s="118" t="s">
        <v>349</v>
      </c>
      <c r="C81" s="148" t="s">
        <v>1469</v>
      </c>
      <c r="D81" s="148" t="s">
        <v>1470</v>
      </c>
      <c r="E81" s="37" t="str">
        <f t="shared" si="1"/>
        <v>ส.อ. อานนท์ เฮงจินดา</v>
      </c>
      <c r="F81" s="104" t="s">
        <v>353</v>
      </c>
      <c r="G81" s="148" t="s">
        <v>1471</v>
      </c>
      <c r="H81" s="142" t="s">
        <v>1472</v>
      </c>
      <c r="I81" s="150">
        <v>1.561901606E9</v>
      </c>
      <c r="J81" s="150">
        <v>1.739900519801E12</v>
      </c>
      <c r="K81" s="195" t="s">
        <v>1056</v>
      </c>
      <c r="L81" s="148" t="s">
        <v>1473</v>
      </c>
      <c r="M81" s="41" t="s">
        <v>658</v>
      </c>
      <c r="N81" s="150" t="s">
        <v>155</v>
      </c>
      <c r="O81" s="111" t="s">
        <v>426</v>
      </c>
      <c r="P81" s="112">
        <v>9.22689916E8</v>
      </c>
      <c r="Q81" s="113"/>
      <c r="R81" s="115" t="s">
        <v>41</v>
      </c>
      <c r="S81" s="116"/>
      <c r="T81" s="66" t="s">
        <v>1474</v>
      </c>
      <c r="U81" s="53">
        <v>34757.0</v>
      </c>
      <c r="V81" s="31" t="s">
        <v>77</v>
      </c>
      <c r="W81" s="55">
        <f t="shared" si="2"/>
        <v>31</v>
      </c>
      <c r="X81" s="55" t="s">
        <v>98</v>
      </c>
      <c r="Y81" s="55" t="s">
        <v>428</v>
      </c>
      <c r="Z81" s="55" t="s">
        <v>1475</v>
      </c>
      <c r="AA81" s="58" t="s">
        <v>1476</v>
      </c>
      <c r="AB81" s="58" t="s">
        <v>1477</v>
      </c>
      <c r="AC81" s="55"/>
      <c r="AD81" s="55" t="s">
        <v>1478</v>
      </c>
      <c r="AE81" s="55" t="s">
        <v>1479</v>
      </c>
    </row>
    <row r="82">
      <c r="A82" s="103">
        <v>81.0</v>
      </c>
      <c r="B82" s="104" t="s">
        <v>106</v>
      </c>
      <c r="C82" s="26" t="s">
        <v>1024</v>
      </c>
      <c r="D82" s="26" t="s">
        <v>1480</v>
      </c>
      <c r="E82" s="37" t="str">
        <f t="shared" si="1"/>
        <v>จ.ส.อ. สุริยา รุ่งแสง</v>
      </c>
      <c r="F82" s="146" t="s">
        <v>111</v>
      </c>
      <c r="G82" s="26" t="s">
        <v>1028</v>
      </c>
      <c r="H82" s="29" t="s">
        <v>1481</v>
      </c>
      <c r="I82" s="39">
        <v>1.477101179E9</v>
      </c>
      <c r="J82" s="39">
        <v>3.341100796811E12</v>
      </c>
      <c r="K82" s="40" t="s">
        <v>899</v>
      </c>
      <c r="L82" s="26" t="s">
        <v>899</v>
      </c>
      <c r="M82" s="41" t="s">
        <v>1482</v>
      </c>
      <c r="N82" s="15" t="s">
        <v>155</v>
      </c>
      <c r="O82" s="111" t="s">
        <v>426</v>
      </c>
      <c r="P82" s="112">
        <v>9.82924893E8</v>
      </c>
      <c r="Q82" s="113"/>
      <c r="R82" s="115" t="s">
        <v>41</v>
      </c>
      <c r="S82" s="116"/>
      <c r="T82" s="66" t="s">
        <v>1483</v>
      </c>
      <c r="U82" s="53">
        <v>29698.0</v>
      </c>
      <c r="V82" s="31" t="s">
        <v>77</v>
      </c>
      <c r="W82" s="55">
        <f t="shared" si="2"/>
        <v>45</v>
      </c>
      <c r="X82" s="55" t="s">
        <v>98</v>
      </c>
      <c r="Y82" s="55" t="s">
        <v>428</v>
      </c>
      <c r="Z82" s="55" t="s">
        <v>1484</v>
      </c>
      <c r="AA82" s="114" t="s">
        <v>1485</v>
      </c>
      <c r="AB82" s="58" t="s">
        <v>1486</v>
      </c>
      <c r="AC82" s="55"/>
      <c r="AD82" s="55" t="s">
        <v>1487</v>
      </c>
      <c r="AE82" s="55" t="s">
        <v>1488</v>
      </c>
    </row>
    <row r="83">
      <c r="A83" s="103">
        <v>82.0</v>
      </c>
      <c r="B83" s="118" t="s">
        <v>349</v>
      </c>
      <c r="C83" s="72" t="s">
        <v>1489</v>
      </c>
      <c r="D83" s="72" t="s">
        <v>1490</v>
      </c>
      <c r="E83" s="37" t="str">
        <f t="shared" si="1"/>
        <v>ส.อ. อนุชา มะลาไวย์</v>
      </c>
      <c r="F83" s="104" t="s">
        <v>353</v>
      </c>
      <c r="G83" s="72" t="s">
        <v>1491</v>
      </c>
      <c r="H83" s="50" t="s">
        <v>1492</v>
      </c>
      <c r="I83" s="77">
        <v>1.554603058E9</v>
      </c>
      <c r="J83" s="77">
        <v>1.450800073538E12</v>
      </c>
      <c r="K83" s="195" t="s">
        <v>1380</v>
      </c>
      <c r="L83" s="72" t="s">
        <v>1493</v>
      </c>
      <c r="M83" s="41" t="s">
        <v>1494</v>
      </c>
      <c r="N83" s="77" t="s">
        <v>72</v>
      </c>
      <c r="O83" s="77" t="s">
        <v>426</v>
      </c>
      <c r="P83" s="112">
        <v>9.83872621E8</v>
      </c>
      <c r="Q83" s="113"/>
      <c r="R83" s="115" t="s">
        <v>41</v>
      </c>
      <c r="S83" s="116"/>
      <c r="T83" s="66" t="s">
        <v>1495</v>
      </c>
      <c r="U83" s="53">
        <v>33266.0</v>
      </c>
      <c r="V83" s="31" t="s">
        <v>77</v>
      </c>
      <c r="W83" s="55">
        <f t="shared" si="2"/>
        <v>35</v>
      </c>
      <c r="X83" s="55" t="s">
        <v>98</v>
      </c>
      <c r="Y83" s="55" t="s">
        <v>428</v>
      </c>
      <c r="Z83" s="55" t="s">
        <v>1496</v>
      </c>
      <c r="AA83" s="114" t="s">
        <v>1497</v>
      </c>
      <c r="AB83" s="58" t="s">
        <v>1498</v>
      </c>
      <c r="AC83" s="55"/>
      <c r="AD83" s="55" t="s">
        <v>1499</v>
      </c>
      <c r="AE83" s="55" t="s">
        <v>1500</v>
      </c>
    </row>
    <row r="84">
      <c r="A84" s="103">
        <v>83.0</v>
      </c>
      <c r="B84" s="118" t="s">
        <v>349</v>
      </c>
      <c r="C84" s="72" t="s">
        <v>1501</v>
      </c>
      <c r="D84" s="72" t="s">
        <v>1502</v>
      </c>
      <c r="E84" s="37" t="str">
        <f t="shared" si="1"/>
        <v>ส.อ. นฤเบศ โสมโสรส</v>
      </c>
      <c r="F84" s="104" t="s">
        <v>353</v>
      </c>
      <c r="G84" s="72" t="s">
        <v>1503</v>
      </c>
      <c r="H84" s="72" t="s">
        <v>1504</v>
      </c>
      <c r="I84" s="111">
        <v>1.584900115E9</v>
      </c>
      <c r="J84" s="77">
        <v>1.709900934557E12</v>
      </c>
      <c r="K84" s="195" t="s">
        <v>1393</v>
      </c>
      <c r="L84" s="72" t="s">
        <v>1357</v>
      </c>
      <c r="M84" s="41" t="s">
        <v>1505</v>
      </c>
      <c r="N84" s="77" t="s">
        <v>85</v>
      </c>
      <c r="O84" s="77" t="s">
        <v>426</v>
      </c>
      <c r="P84" s="112">
        <v>6.12270557E8</v>
      </c>
      <c r="Q84" s="113"/>
      <c r="R84" s="115" t="s">
        <v>41</v>
      </c>
      <c r="S84" s="116"/>
      <c r="T84" s="66" t="s">
        <v>1506</v>
      </c>
      <c r="U84" s="57">
        <v>34678.0</v>
      </c>
      <c r="V84" s="31" t="s">
        <v>77</v>
      </c>
      <c r="W84" s="55">
        <f t="shared" si="2"/>
        <v>31</v>
      </c>
      <c r="X84" s="55" t="s">
        <v>98</v>
      </c>
      <c r="Y84" s="55" t="s">
        <v>428</v>
      </c>
      <c r="Z84" s="55" t="s">
        <v>1507</v>
      </c>
      <c r="AA84" s="58" t="s">
        <v>1508</v>
      </c>
      <c r="AB84" s="58" t="s">
        <v>1509</v>
      </c>
      <c r="AC84" s="55"/>
      <c r="AD84" s="55" t="s">
        <v>1510</v>
      </c>
      <c r="AE84" s="55" t="s">
        <v>1511</v>
      </c>
    </row>
    <row r="85">
      <c r="A85" s="22">
        <v>84.0</v>
      </c>
      <c r="B85" s="76" t="s">
        <v>106</v>
      </c>
      <c r="C85" s="72" t="s">
        <v>1512</v>
      </c>
      <c r="D85" s="72" t="s">
        <v>1513</v>
      </c>
      <c r="E85" s="37" t="str">
        <f t="shared" si="1"/>
        <v>จ.ส.อ. กฤษณะ บุญจัด</v>
      </c>
      <c r="F85" s="146" t="s">
        <v>111</v>
      </c>
      <c r="G85" s="148" t="s">
        <v>1514</v>
      </c>
      <c r="H85" s="50" t="s">
        <v>1515</v>
      </c>
      <c r="I85" s="77">
        <v>1.564601707E9</v>
      </c>
      <c r="J85" s="77">
        <v>1.450400146287E12</v>
      </c>
      <c r="K85" s="195" t="s">
        <v>952</v>
      </c>
      <c r="L85" s="72" t="s">
        <v>1394</v>
      </c>
      <c r="M85" s="41" t="s">
        <v>954</v>
      </c>
      <c r="N85" s="202" t="s">
        <v>72</v>
      </c>
      <c r="O85" s="111" t="s">
        <v>426</v>
      </c>
      <c r="P85" s="112">
        <v>8.95769712E8</v>
      </c>
      <c r="Q85" s="113"/>
      <c r="R85" s="115" t="s">
        <v>41</v>
      </c>
      <c r="S85" s="116"/>
      <c r="T85" s="66" t="s">
        <v>1516</v>
      </c>
      <c r="U85" s="57">
        <v>34493.0</v>
      </c>
      <c r="V85" s="31" t="s">
        <v>77</v>
      </c>
      <c r="W85" s="55">
        <f t="shared" si="2"/>
        <v>32</v>
      </c>
      <c r="X85" s="55" t="s">
        <v>98</v>
      </c>
      <c r="Y85" s="55" t="s">
        <v>428</v>
      </c>
      <c r="Z85" s="55" t="s">
        <v>1517</v>
      </c>
      <c r="AA85" s="58" t="s">
        <v>1518</v>
      </c>
      <c r="AB85" s="58" t="s">
        <v>1519</v>
      </c>
      <c r="AC85" s="55"/>
      <c r="AD85" s="55" t="s">
        <v>1520</v>
      </c>
      <c r="AE85" s="55" t="s">
        <v>1521</v>
      </c>
    </row>
    <row r="86">
      <c r="A86" s="103">
        <v>85.0</v>
      </c>
      <c r="B86" s="118" t="s">
        <v>349</v>
      </c>
      <c r="C86" s="26" t="s">
        <v>1522</v>
      </c>
      <c r="D86" s="26" t="s">
        <v>1523</v>
      </c>
      <c r="E86" s="37" t="str">
        <f t="shared" si="1"/>
        <v>ส.อ. อนิวัฒน์ ทองเปราะ</v>
      </c>
      <c r="F86" s="104" t="s">
        <v>353</v>
      </c>
      <c r="G86" s="26" t="s">
        <v>1524</v>
      </c>
      <c r="H86" s="29" t="s">
        <v>1525</v>
      </c>
      <c r="I86" s="39">
        <v>1.580200445E9</v>
      </c>
      <c r="J86" s="39">
        <v>1.710200085877E12</v>
      </c>
      <c r="K86" s="40" t="s">
        <v>973</v>
      </c>
      <c r="L86" s="26" t="s">
        <v>1357</v>
      </c>
      <c r="M86" s="41" t="s">
        <v>1234</v>
      </c>
      <c r="N86" s="15" t="s">
        <v>85</v>
      </c>
      <c r="O86" s="111" t="s">
        <v>426</v>
      </c>
      <c r="P86" s="112">
        <v>8.33085909E8</v>
      </c>
      <c r="Q86" s="113"/>
      <c r="R86" s="115" t="s">
        <v>41</v>
      </c>
      <c r="S86" s="116"/>
      <c r="T86" s="66" t="s">
        <v>1526</v>
      </c>
      <c r="U86" s="53">
        <v>34606.0</v>
      </c>
      <c r="V86" s="157" t="s">
        <v>191</v>
      </c>
      <c r="W86" s="55">
        <f t="shared" si="2"/>
        <v>32</v>
      </c>
      <c r="X86" s="55" t="s">
        <v>98</v>
      </c>
      <c r="Y86" s="55" t="s">
        <v>428</v>
      </c>
      <c r="Z86" s="55" t="s">
        <v>1527</v>
      </c>
      <c r="AA86" s="58" t="s">
        <v>1528</v>
      </c>
      <c r="AB86" s="58" t="s">
        <v>1529</v>
      </c>
      <c r="AC86" s="55"/>
      <c r="AD86" s="55" t="s">
        <v>1530</v>
      </c>
      <c r="AE86" s="55" t="s">
        <v>1531</v>
      </c>
    </row>
    <row r="87">
      <c r="A87" s="103">
        <v>86.0</v>
      </c>
      <c r="B87" s="118" t="s">
        <v>106</v>
      </c>
      <c r="C87" s="148" t="s">
        <v>1532</v>
      </c>
      <c r="D87" s="148" t="s">
        <v>1533</v>
      </c>
      <c r="E87" s="37" t="str">
        <f t="shared" si="1"/>
        <v>จ.ส.อ. อนุชิด ประจักษ์</v>
      </c>
      <c r="F87" s="146" t="s">
        <v>111</v>
      </c>
      <c r="G87" s="148" t="s">
        <v>1534</v>
      </c>
      <c r="H87" s="142" t="s">
        <v>1535</v>
      </c>
      <c r="I87" s="150">
        <v>1.517103645E9</v>
      </c>
      <c r="J87" s="150">
        <v>1.34090010715E12</v>
      </c>
      <c r="K87" s="40" t="s">
        <v>1426</v>
      </c>
      <c r="L87" s="148" t="s">
        <v>899</v>
      </c>
      <c r="M87" s="41" t="s">
        <v>1536</v>
      </c>
      <c r="N87" s="202" t="s">
        <v>155</v>
      </c>
      <c r="O87" s="111" t="s">
        <v>426</v>
      </c>
      <c r="P87" s="112">
        <v>8.44753831E8</v>
      </c>
      <c r="Q87" s="113"/>
      <c r="R87" s="115" t="s">
        <v>41</v>
      </c>
      <c r="S87" s="116"/>
      <c r="T87" s="66" t="s">
        <v>1537</v>
      </c>
      <c r="U87" s="53">
        <v>32120.0</v>
      </c>
      <c r="V87" s="31" t="s">
        <v>77</v>
      </c>
      <c r="W87" s="55">
        <f t="shared" si="2"/>
        <v>38</v>
      </c>
      <c r="X87" s="55" t="s">
        <v>98</v>
      </c>
      <c r="Y87" s="55" t="s">
        <v>428</v>
      </c>
      <c r="Z87" s="55" t="s">
        <v>1538</v>
      </c>
      <c r="AA87" s="114" t="s">
        <v>1539</v>
      </c>
      <c r="AB87" s="58" t="s">
        <v>1540</v>
      </c>
      <c r="AC87" s="55"/>
      <c r="AD87" s="55" t="s">
        <v>1541</v>
      </c>
      <c r="AE87" s="55" t="s">
        <v>1542</v>
      </c>
    </row>
    <row r="88">
      <c r="A88" s="103">
        <v>87.0</v>
      </c>
      <c r="B88" s="104" t="s">
        <v>349</v>
      </c>
      <c r="C88" s="72" t="s">
        <v>1543</v>
      </c>
      <c r="D88" s="72" t="s">
        <v>1544</v>
      </c>
      <c r="E88" s="37" t="str">
        <f t="shared" si="1"/>
        <v>ส.อ. สิทธิพร พิมเพชร</v>
      </c>
      <c r="F88" s="104" t="s">
        <v>353</v>
      </c>
      <c r="G88" s="72" t="s">
        <v>1545</v>
      </c>
      <c r="H88" s="50" t="s">
        <v>1546</v>
      </c>
      <c r="I88" s="77">
        <v>1.584902313E9</v>
      </c>
      <c r="J88" s="77">
        <v>1.709901089052E12</v>
      </c>
      <c r="K88" s="40" t="s">
        <v>1012</v>
      </c>
      <c r="L88" s="72" t="s">
        <v>1547</v>
      </c>
      <c r="M88" s="41" t="s">
        <v>1382</v>
      </c>
      <c r="N88" s="110" t="s">
        <v>85</v>
      </c>
      <c r="O88" s="111" t="s">
        <v>426</v>
      </c>
      <c r="P88" s="112">
        <v>6.35952652E8</v>
      </c>
      <c r="Q88" s="113"/>
      <c r="R88" s="115" t="s">
        <v>41</v>
      </c>
      <c r="S88" s="116"/>
      <c r="T88" s="66" t="s">
        <v>1548</v>
      </c>
      <c r="U88" s="53">
        <v>35362.0</v>
      </c>
      <c r="V88" s="31" t="s">
        <v>77</v>
      </c>
      <c r="W88" s="55">
        <f t="shared" si="2"/>
        <v>29</v>
      </c>
      <c r="X88" s="55" t="s">
        <v>98</v>
      </c>
      <c r="Y88" s="55" t="s">
        <v>428</v>
      </c>
      <c r="Z88" s="55" t="s">
        <v>1549</v>
      </c>
      <c r="AA88" s="58" t="s">
        <v>1550</v>
      </c>
      <c r="AB88" s="58" t="s">
        <v>1551</v>
      </c>
      <c r="AC88" s="55"/>
      <c r="AD88" s="55" t="s">
        <v>1552</v>
      </c>
      <c r="AE88" s="55" t="s">
        <v>1553</v>
      </c>
    </row>
    <row r="89">
      <c r="A89" s="103">
        <v>88.0</v>
      </c>
      <c r="B89" s="118" t="s">
        <v>106</v>
      </c>
      <c r="C89" s="26" t="s">
        <v>1554</v>
      </c>
      <c r="D89" s="26" t="s">
        <v>1555</v>
      </c>
      <c r="E89" s="37" t="str">
        <f t="shared" si="1"/>
        <v>จ.ส.อ. วัชระ ชัยเขียว</v>
      </c>
      <c r="F89" s="85" t="s">
        <v>111</v>
      </c>
      <c r="G89" s="26" t="s">
        <v>1556</v>
      </c>
      <c r="H89" s="29" t="s">
        <v>1557</v>
      </c>
      <c r="I89" s="39">
        <v>1.521202645E9</v>
      </c>
      <c r="J89" s="39">
        <v>1.570400085511E12</v>
      </c>
      <c r="K89" s="40" t="s">
        <v>1449</v>
      </c>
      <c r="L89" s="26" t="s">
        <v>899</v>
      </c>
      <c r="M89" s="41" t="s">
        <v>1536</v>
      </c>
      <c r="N89" s="39" t="s">
        <v>85</v>
      </c>
      <c r="O89" s="77" t="s">
        <v>426</v>
      </c>
      <c r="P89" s="112">
        <v>8.79834129E8</v>
      </c>
      <c r="Q89" s="113"/>
      <c r="R89" s="115" t="s">
        <v>41</v>
      </c>
      <c r="S89" s="116"/>
      <c r="T89" s="66" t="s">
        <v>1558</v>
      </c>
      <c r="U89" s="53">
        <v>31605.0</v>
      </c>
      <c r="V89" s="31" t="s">
        <v>77</v>
      </c>
      <c r="W89" s="55">
        <f t="shared" si="2"/>
        <v>40</v>
      </c>
      <c r="X89" s="55" t="s">
        <v>98</v>
      </c>
      <c r="Y89" s="55" t="s">
        <v>428</v>
      </c>
      <c r="Z89" s="55" t="s">
        <v>1559</v>
      </c>
      <c r="AA89" s="58" t="s">
        <v>1560</v>
      </c>
      <c r="AB89" s="58" t="s">
        <v>1561</v>
      </c>
      <c r="AC89" s="55"/>
      <c r="AD89" s="55" t="s">
        <v>1562</v>
      </c>
      <c r="AE89" s="55" t="s">
        <v>1563</v>
      </c>
    </row>
    <row r="90">
      <c r="A90" s="103">
        <v>89.0</v>
      </c>
      <c r="B90" s="118" t="s">
        <v>349</v>
      </c>
      <c r="C90" s="148" t="s">
        <v>1564</v>
      </c>
      <c r="D90" s="142" t="s">
        <v>1565</v>
      </c>
      <c r="E90" s="37" t="str">
        <f t="shared" si="1"/>
        <v>ส.อ. ไพฑูรย์ พิมพ์การ</v>
      </c>
      <c r="F90" s="76" t="s">
        <v>353</v>
      </c>
      <c r="G90" s="148" t="s">
        <v>1566</v>
      </c>
      <c r="H90" s="142" t="s">
        <v>1567</v>
      </c>
      <c r="I90" s="110">
        <v>1.570200056E9</v>
      </c>
      <c r="J90" s="111">
        <v>2.71120000793E12</v>
      </c>
      <c r="K90" s="40" t="s">
        <v>1462</v>
      </c>
      <c r="L90" s="50" t="s">
        <v>1568</v>
      </c>
      <c r="M90" s="41" t="s">
        <v>1569</v>
      </c>
      <c r="N90" s="77" t="s">
        <v>85</v>
      </c>
      <c r="O90" s="77" t="s">
        <v>426</v>
      </c>
      <c r="P90" s="112">
        <v>9.27893718E8</v>
      </c>
      <c r="Q90" s="113"/>
      <c r="R90" s="115" t="s">
        <v>41</v>
      </c>
      <c r="S90" s="116"/>
      <c r="T90" s="66" t="s">
        <v>1570</v>
      </c>
      <c r="U90" s="53">
        <v>33294.0</v>
      </c>
      <c r="V90" s="31" t="s">
        <v>77</v>
      </c>
      <c r="W90" s="55">
        <f t="shared" si="2"/>
        <v>35</v>
      </c>
      <c r="X90" s="55" t="s">
        <v>98</v>
      </c>
      <c r="Y90" s="55" t="s">
        <v>428</v>
      </c>
      <c r="Z90" s="55" t="s">
        <v>1571</v>
      </c>
      <c r="AA90" s="114" t="s">
        <v>1572</v>
      </c>
      <c r="AB90" s="58" t="s">
        <v>1573</v>
      </c>
      <c r="AC90" s="55"/>
      <c r="AD90" s="55" t="s">
        <v>1574</v>
      </c>
      <c r="AE90" s="55" t="s">
        <v>1575</v>
      </c>
    </row>
    <row r="91">
      <c r="A91" s="103">
        <v>90.0</v>
      </c>
      <c r="B91" s="118" t="s">
        <v>106</v>
      </c>
      <c r="C91" s="148" t="s">
        <v>1458</v>
      </c>
      <c r="D91" s="142" t="s">
        <v>1576</v>
      </c>
      <c r="E91" s="37" t="str">
        <f t="shared" si="1"/>
        <v>จ.ส.อ. อำนาจ เสนาโนฤทธิ์</v>
      </c>
      <c r="F91" s="139" t="s">
        <v>111</v>
      </c>
      <c r="G91" s="26" t="s">
        <v>1577</v>
      </c>
      <c r="H91" s="29" t="s">
        <v>1578</v>
      </c>
      <c r="I91" s="110">
        <v>1.504301946E9</v>
      </c>
      <c r="J91" s="111">
        <v>1.440800043167E12</v>
      </c>
      <c r="K91" s="40" t="s">
        <v>1056</v>
      </c>
      <c r="L91" s="50" t="s">
        <v>1327</v>
      </c>
      <c r="M91" s="41" t="s">
        <v>1579</v>
      </c>
      <c r="N91" s="39" t="s">
        <v>72</v>
      </c>
      <c r="O91" s="77" t="s">
        <v>426</v>
      </c>
      <c r="P91" s="112">
        <v>9.90043826E8</v>
      </c>
      <c r="Q91" s="113"/>
      <c r="R91" s="115" t="s">
        <v>41</v>
      </c>
      <c r="S91" s="116"/>
      <c r="T91" s="66" t="s">
        <v>1580</v>
      </c>
      <c r="U91" s="53">
        <v>31478.0</v>
      </c>
      <c r="V91" s="31" t="s">
        <v>77</v>
      </c>
      <c r="W91" s="55">
        <f t="shared" si="2"/>
        <v>40</v>
      </c>
      <c r="X91" s="55" t="s">
        <v>98</v>
      </c>
      <c r="Y91" s="55" t="s">
        <v>428</v>
      </c>
      <c r="Z91" s="55" t="s">
        <v>1581</v>
      </c>
      <c r="AA91" s="55"/>
      <c r="AB91" s="58" t="s">
        <v>1582</v>
      </c>
      <c r="AC91" s="55"/>
      <c r="AD91" s="55" t="s">
        <v>1583</v>
      </c>
      <c r="AE91" s="55" t="s">
        <v>1584</v>
      </c>
    </row>
    <row r="92">
      <c r="A92" s="22">
        <v>91.0</v>
      </c>
      <c r="B92" s="24" t="s">
        <v>106</v>
      </c>
      <c r="C92" s="83" t="s">
        <v>1585</v>
      </c>
      <c r="D92" s="86" t="s">
        <v>1586</v>
      </c>
      <c r="E92" s="37" t="str">
        <f t="shared" si="1"/>
        <v>จ.ส.อ. วราวุฒิ เพ็ชร์คง</v>
      </c>
      <c r="F92" s="82" t="s">
        <v>111</v>
      </c>
      <c r="G92" s="83" t="s">
        <v>1587</v>
      </c>
      <c r="H92" s="86" t="s">
        <v>1588</v>
      </c>
      <c r="I92" s="15">
        <v>1.453000252E9</v>
      </c>
      <c r="J92" s="22">
        <v>1.86990001001E12</v>
      </c>
      <c r="K92" s="40" t="s">
        <v>899</v>
      </c>
      <c r="L92" s="29" t="s">
        <v>629</v>
      </c>
      <c r="M92" s="41" t="s">
        <v>1589</v>
      </c>
      <c r="N92" s="39" t="s">
        <v>155</v>
      </c>
      <c r="O92" s="39" t="s">
        <v>426</v>
      </c>
      <c r="P92" s="42">
        <v>6.17191452E8</v>
      </c>
      <c r="Q92" s="43"/>
      <c r="R92" s="115" t="s">
        <v>41</v>
      </c>
      <c r="S92" s="46"/>
      <c r="T92" s="66" t="s">
        <v>1590</v>
      </c>
      <c r="U92" s="53">
        <v>30937.0</v>
      </c>
      <c r="V92" s="31" t="s">
        <v>77</v>
      </c>
      <c r="W92" s="55">
        <f t="shared" si="2"/>
        <v>42</v>
      </c>
      <c r="X92" s="55" t="s">
        <v>98</v>
      </c>
      <c r="Y92" s="55" t="s">
        <v>428</v>
      </c>
      <c r="Z92" s="55" t="s">
        <v>1591</v>
      </c>
      <c r="AA92" s="114" t="s">
        <v>1592</v>
      </c>
      <c r="AB92" s="58" t="s">
        <v>1593</v>
      </c>
      <c r="AC92" s="55"/>
      <c r="AD92" s="55" t="s">
        <v>1594</v>
      </c>
      <c r="AE92" s="55" t="s">
        <v>1595</v>
      </c>
    </row>
    <row r="93">
      <c r="A93" s="22">
        <v>92.0</v>
      </c>
      <c r="B93" s="98" t="s">
        <v>398</v>
      </c>
      <c r="C93" s="26" t="s">
        <v>1596</v>
      </c>
      <c r="D93" s="26" t="s">
        <v>1597</v>
      </c>
      <c r="E93" s="37" t="str">
        <f t="shared" si="1"/>
        <v>จ.ส.ท. สุเมธ ภูมิเกล้า</v>
      </c>
      <c r="F93" s="204" t="s">
        <v>410</v>
      </c>
      <c r="G93" s="26" t="s">
        <v>1598</v>
      </c>
      <c r="H93" s="29" t="s">
        <v>1599</v>
      </c>
      <c r="I93" s="39">
        <v>1.533900889E9</v>
      </c>
      <c r="J93" s="39">
        <v>1.769800054873E12</v>
      </c>
      <c r="K93" s="40" t="s">
        <v>1380</v>
      </c>
      <c r="L93" s="26" t="s">
        <v>899</v>
      </c>
      <c r="M93" s="41" t="s">
        <v>954</v>
      </c>
      <c r="N93" s="15" t="s">
        <v>85</v>
      </c>
      <c r="O93" s="22" t="s">
        <v>426</v>
      </c>
      <c r="P93" s="42">
        <v>8.06285257E8</v>
      </c>
      <c r="Q93" s="43"/>
      <c r="R93" s="115" t="s">
        <v>41</v>
      </c>
      <c r="S93" s="46"/>
      <c r="T93" s="66" t="s">
        <v>1600</v>
      </c>
      <c r="U93" s="53">
        <v>32755.0</v>
      </c>
      <c r="V93" s="31" t="s">
        <v>77</v>
      </c>
      <c r="W93" s="55">
        <f t="shared" si="2"/>
        <v>37</v>
      </c>
      <c r="X93" s="55" t="s">
        <v>98</v>
      </c>
      <c r="Y93" s="55" t="s">
        <v>428</v>
      </c>
      <c r="Z93" s="55" t="s">
        <v>1601</v>
      </c>
      <c r="AA93" s="58" t="s">
        <v>1602</v>
      </c>
      <c r="AB93" s="58" t="s">
        <v>1603</v>
      </c>
      <c r="AC93" s="55"/>
      <c r="AD93" s="55" t="s">
        <v>1604</v>
      </c>
      <c r="AE93" s="55" t="s">
        <v>1605</v>
      </c>
    </row>
    <row r="94">
      <c r="A94" s="22">
        <v>93.0</v>
      </c>
      <c r="B94" s="24" t="s">
        <v>106</v>
      </c>
      <c r="C94" s="26" t="s">
        <v>1606</v>
      </c>
      <c r="D94" s="29" t="s">
        <v>1607</v>
      </c>
      <c r="E94" s="37" t="str">
        <f t="shared" si="1"/>
        <v>จ.ส.อ. วีระชัย เพ็ชรพลอย</v>
      </c>
      <c r="F94" s="24" t="s">
        <v>111</v>
      </c>
      <c r="G94" s="26" t="s">
        <v>1608</v>
      </c>
      <c r="H94" s="26" t="s">
        <v>1609</v>
      </c>
      <c r="I94" s="103">
        <v>1.417500213E9</v>
      </c>
      <c r="J94" s="22">
        <v>3.341700132115E12</v>
      </c>
      <c r="K94" s="40" t="s">
        <v>1393</v>
      </c>
      <c r="L94" s="26" t="s">
        <v>899</v>
      </c>
      <c r="M94" s="41" t="s">
        <v>1451</v>
      </c>
      <c r="N94" s="15" t="s">
        <v>85</v>
      </c>
      <c r="O94" s="22" t="s">
        <v>426</v>
      </c>
      <c r="P94" s="42">
        <v>9.27439904E8</v>
      </c>
      <c r="Q94" s="43"/>
      <c r="R94" s="115" t="s">
        <v>41</v>
      </c>
      <c r="S94" s="46"/>
      <c r="T94" s="66" t="s">
        <v>1610</v>
      </c>
      <c r="U94" s="57">
        <v>28081.0</v>
      </c>
      <c r="V94" s="31" t="s">
        <v>77</v>
      </c>
      <c r="W94" s="55">
        <f t="shared" si="2"/>
        <v>49</v>
      </c>
      <c r="X94" s="55" t="s">
        <v>98</v>
      </c>
      <c r="Y94" s="55" t="s">
        <v>428</v>
      </c>
      <c r="Z94" s="55" t="s">
        <v>1611</v>
      </c>
      <c r="AA94" s="58" t="s">
        <v>1612</v>
      </c>
      <c r="AB94" s="58" t="s">
        <v>1613</v>
      </c>
      <c r="AC94" s="55"/>
      <c r="AD94" s="55" t="s">
        <v>1614</v>
      </c>
      <c r="AE94" s="55" t="s">
        <v>1615</v>
      </c>
    </row>
    <row r="95">
      <c r="A95" s="22">
        <v>94.0</v>
      </c>
      <c r="B95" s="98" t="s">
        <v>106</v>
      </c>
      <c r="C95" s="83" t="s">
        <v>1616</v>
      </c>
      <c r="D95" s="83" t="s">
        <v>1617</v>
      </c>
      <c r="E95" s="37" t="str">
        <f t="shared" si="1"/>
        <v>จ.ส.อ. ฐนพชร แหยมประเสริฐ</v>
      </c>
      <c r="F95" s="171" t="s">
        <v>111</v>
      </c>
      <c r="G95" s="26" t="s">
        <v>1618</v>
      </c>
      <c r="H95" s="29" t="s">
        <v>1619</v>
      </c>
      <c r="I95" s="39">
        <v>1.546900028E9</v>
      </c>
      <c r="J95" s="39">
        <v>1.539900286735E12</v>
      </c>
      <c r="K95" s="40" t="s">
        <v>952</v>
      </c>
      <c r="L95" s="26" t="s">
        <v>899</v>
      </c>
      <c r="M95" s="41" t="s">
        <v>954</v>
      </c>
      <c r="N95" s="20" t="s">
        <v>155</v>
      </c>
      <c r="O95" s="39" t="s">
        <v>426</v>
      </c>
      <c r="P95" s="42">
        <v>8.7355998E8</v>
      </c>
      <c r="Q95" s="43"/>
      <c r="R95" s="115" t="s">
        <v>41</v>
      </c>
      <c r="S95" s="46"/>
      <c r="T95" s="66" t="s">
        <v>1620</v>
      </c>
      <c r="U95" s="53">
        <v>33143.0</v>
      </c>
      <c r="V95" s="31" t="s">
        <v>77</v>
      </c>
      <c r="W95" s="55">
        <f t="shared" si="2"/>
        <v>36</v>
      </c>
      <c r="X95" s="55" t="s">
        <v>98</v>
      </c>
      <c r="Y95" s="55" t="s">
        <v>428</v>
      </c>
      <c r="Z95" s="55" t="s">
        <v>1621</v>
      </c>
      <c r="AA95" s="58" t="s">
        <v>1622</v>
      </c>
      <c r="AB95" s="58" t="s">
        <v>1623</v>
      </c>
      <c r="AC95" s="55"/>
      <c r="AD95" s="55" t="s">
        <v>1624</v>
      </c>
      <c r="AE95" s="55" t="s">
        <v>1625</v>
      </c>
    </row>
    <row r="96">
      <c r="A96" s="22">
        <v>95.0</v>
      </c>
      <c r="B96" s="24" t="s">
        <v>349</v>
      </c>
      <c r="C96" s="26" t="s">
        <v>1626</v>
      </c>
      <c r="D96" s="26" t="s">
        <v>1627</v>
      </c>
      <c r="E96" s="37" t="str">
        <f t="shared" si="1"/>
        <v>ส.อ. จิตติวุฒิ คมขำ</v>
      </c>
      <c r="F96" s="118" t="s">
        <v>353</v>
      </c>
      <c r="G96" s="83" t="s">
        <v>1628</v>
      </c>
      <c r="H96" s="29" t="s">
        <v>1629</v>
      </c>
      <c r="I96" s="39">
        <v>1.550200574E9</v>
      </c>
      <c r="J96" s="39">
        <v>1.719900311576E12</v>
      </c>
      <c r="K96" s="40" t="s">
        <v>973</v>
      </c>
      <c r="L96" s="83" t="s">
        <v>357</v>
      </c>
      <c r="M96" s="41" t="s">
        <v>1358</v>
      </c>
      <c r="N96" s="39" t="s">
        <v>85</v>
      </c>
      <c r="O96" s="39" t="s">
        <v>426</v>
      </c>
      <c r="P96" s="42">
        <v>9.70711836E8</v>
      </c>
      <c r="Q96" s="43"/>
      <c r="R96" s="115" t="s">
        <v>41</v>
      </c>
      <c r="S96" s="46"/>
      <c r="T96" s="66" t="s">
        <v>1630</v>
      </c>
      <c r="U96" s="53">
        <v>34189.0</v>
      </c>
      <c r="V96" s="31" t="s">
        <v>77</v>
      </c>
      <c r="W96" s="55">
        <f t="shared" si="2"/>
        <v>33</v>
      </c>
      <c r="X96" s="55" t="s">
        <v>98</v>
      </c>
      <c r="Y96" s="55" t="s">
        <v>428</v>
      </c>
      <c r="Z96" s="55" t="s">
        <v>1631</v>
      </c>
      <c r="AA96" s="58" t="s">
        <v>1632</v>
      </c>
      <c r="AB96" s="58" t="s">
        <v>1633</v>
      </c>
      <c r="AC96" s="55"/>
      <c r="AD96" s="55" t="s">
        <v>1634</v>
      </c>
      <c r="AE96" s="55" t="s">
        <v>1635</v>
      </c>
    </row>
    <row r="97">
      <c r="A97" s="22">
        <v>96.0</v>
      </c>
      <c r="B97" s="24" t="s">
        <v>349</v>
      </c>
      <c r="C97" s="26" t="s">
        <v>1636</v>
      </c>
      <c r="D97" s="26" t="s">
        <v>1637</v>
      </c>
      <c r="E97" s="37" t="str">
        <f t="shared" si="1"/>
        <v>ส.อ. ชลพรรษ ขันมั่น</v>
      </c>
      <c r="F97" s="118" t="s">
        <v>353</v>
      </c>
      <c r="G97" s="26" t="s">
        <v>1638</v>
      </c>
      <c r="H97" s="29" t="s">
        <v>1639</v>
      </c>
      <c r="I97" s="39">
        <v>1.574901697E9</v>
      </c>
      <c r="J97" s="39">
        <v>1.709700133739E12</v>
      </c>
      <c r="K97" s="40" t="s">
        <v>1426</v>
      </c>
      <c r="L97" s="26" t="s">
        <v>1640</v>
      </c>
      <c r="M97" s="41" t="s">
        <v>473</v>
      </c>
      <c r="N97" s="39" t="s">
        <v>85</v>
      </c>
      <c r="O97" s="39" t="s">
        <v>426</v>
      </c>
      <c r="P97" s="42">
        <v>9.18866513E8</v>
      </c>
      <c r="Q97" s="43"/>
      <c r="R97" s="115" t="s">
        <v>41</v>
      </c>
      <c r="S97" s="46"/>
      <c r="T97" s="66" t="s">
        <v>1641</v>
      </c>
      <c r="U97" s="53">
        <v>34268.0</v>
      </c>
      <c r="V97" s="31" t="s">
        <v>77</v>
      </c>
      <c r="W97" s="55">
        <f t="shared" si="2"/>
        <v>32</v>
      </c>
      <c r="X97" s="55" t="s">
        <v>98</v>
      </c>
      <c r="Y97" s="55" t="s">
        <v>428</v>
      </c>
      <c r="Z97" s="55" t="s">
        <v>1642</v>
      </c>
      <c r="AA97" s="58" t="s">
        <v>1643</v>
      </c>
      <c r="AB97" s="58" t="s">
        <v>1644</v>
      </c>
      <c r="AC97" s="55"/>
      <c r="AD97" s="55" t="s">
        <v>1645</v>
      </c>
      <c r="AE97" s="55" t="s">
        <v>1646</v>
      </c>
    </row>
    <row r="98">
      <c r="A98" s="22">
        <v>97.0</v>
      </c>
      <c r="B98" s="82" t="s">
        <v>106</v>
      </c>
      <c r="C98" s="83" t="s">
        <v>1647</v>
      </c>
      <c r="D98" s="83" t="s">
        <v>1648</v>
      </c>
      <c r="E98" s="37" t="str">
        <f t="shared" si="1"/>
        <v>จ.ส.อ. ภาณุวัฒน์ แย้มสุข</v>
      </c>
      <c r="F98" s="85" t="s">
        <v>111</v>
      </c>
      <c r="G98" s="26" t="s">
        <v>1649</v>
      </c>
      <c r="H98" s="29" t="s">
        <v>1650</v>
      </c>
      <c r="I98" s="39">
        <v>1.496300447E9</v>
      </c>
      <c r="J98" s="39">
        <v>1.640500014976E12</v>
      </c>
      <c r="K98" s="40" t="s">
        <v>1012</v>
      </c>
      <c r="L98" s="29" t="s">
        <v>899</v>
      </c>
      <c r="M98" s="41" t="s">
        <v>1145</v>
      </c>
      <c r="N98" s="18" t="s">
        <v>155</v>
      </c>
      <c r="O98" s="22" t="s">
        <v>426</v>
      </c>
      <c r="P98" s="42">
        <v>8.4494013E8</v>
      </c>
      <c r="Q98" s="43"/>
      <c r="R98" s="115" t="s">
        <v>41</v>
      </c>
      <c r="S98" s="46"/>
      <c r="T98" s="66" t="s">
        <v>1651</v>
      </c>
      <c r="U98" s="57">
        <v>31086.0</v>
      </c>
      <c r="V98" s="31" t="s">
        <v>77</v>
      </c>
      <c r="W98" s="55">
        <f t="shared" si="2"/>
        <v>41</v>
      </c>
      <c r="X98" s="55" t="s">
        <v>98</v>
      </c>
      <c r="Y98" s="55" t="s">
        <v>428</v>
      </c>
      <c r="Z98" s="55" t="s">
        <v>1652</v>
      </c>
      <c r="AA98" s="55"/>
      <c r="AB98" s="55"/>
      <c r="AC98" s="55"/>
      <c r="AD98" s="55" t="s">
        <v>1653</v>
      </c>
      <c r="AE98" s="55" t="s">
        <v>1654</v>
      </c>
    </row>
    <row r="99">
      <c r="A99" s="22">
        <v>98.0</v>
      </c>
      <c r="B99" s="24" t="s">
        <v>106</v>
      </c>
      <c r="C99" s="26" t="s">
        <v>1655</v>
      </c>
      <c r="D99" s="26" t="s">
        <v>1656</v>
      </c>
      <c r="E99" s="37" t="str">
        <f t="shared" si="1"/>
        <v>จ.ส.อ. ประภาส ม่วงอากาศ</v>
      </c>
      <c r="F99" s="85" t="s">
        <v>111</v>
      </c>
      <c r="G99" s="26" t="s">
        <v>1657</v>
      </c>
      <c r="H99" s="29" t="s">
        <v>1658</v>
      </c>
      <c r="I99" s="39">
        <v>1.422800178E9</v>
      </c>
      <c r="J99" s="39">
        <v>3.311300039461E12</v>
      </c>
      <c r="K99" s="40" t="s">
        <v>1449</v>
      </c>
      <c r="L99" s="26" t="s">
        <v>899</v>
      </c>
      <c r="M99" s="41" t="s">
        <v>1659</v>
      </c>
      <c r="N99" s="18" t="s">
        <v>85</v>
      </c>
      <c r="O99" s="22" t="s">
        <v>426</v>
      </c>
      <c r="P99" s="67">
        <v>8.1705279E8</v>
      </c>
      <c r="Q99" s="43"/>
      <c r="R99" s="115" t="s">
        <v>41</v>
      </c>
      <c r="S99" s="46"/>
      <c r="T99" s="66" t="s">
        <v>1660</v>
      </c>
      <c r="U99" s="53">
        <v>28758.0</v>
      </c>
      <c r="V99" s="31" t="s">
        <v>77</v>
      </c>
      <c r="W99" s="55">
        <f t="shared" si="2"/>
        <v>48</v>
      </c>
      <c r="X99" s="55" t="s">
        <v>98</v>
      </c>
      <c r="Y99" s="55" t="s">
        <v>428</v>
      </c>
      <c r="Z99" s="55" t="s">
        <v>1661</v>
      </c>
      <c r="AA99" s="114" t="s">
        <v>1662</v>
      </c>
      <c r="AB99" s="58" t="s">
        <v>1663</v>
      </c>
      <c r="AC99" s="55"/>
      <c r="AD99" s="55" t="s">
        <v>1664</v>
      </c>
      <c r="AE99" s="55" t="s">
        <v>1665</v>
      </c>
    </row>
    <row r="100">
      <c r="A100" s="22">
        <v>99.0</v>
      </c>
      <c r="B100" s="24" t="s">
        <v>106</v>
      </c>
      <c r="C100" s="26" t="s">
        <v>1666</v>
      </c>
      <c r="D100" s="26" t="s">
        <v>1667</v>
      </c>
      <c r="E100" s="37" t="str">
        <f t="shared" si="1"/>
        <v>จ.ส.อ. ภูธเนศ ลัทธิรมย์</v>
      </c>
      <c r="F100" s="85" t="s">
        <v>111</v>
      </c>
      <c r="G100" s="83" t="s">
        <v>1668</v>
      </c>
      <c r="H100" s="29" t="s">
        <v>1669</v>
      </c>
      <c r="I100" s="39">
        <v>1.557104836E9</v>
      </c>
      <c r="J100" s="39">
        <v>1.103701107855E12</v>
      </c>
      <c r="K100" s="40" t="s">
        <v>1462</v>
      </c>
      <c r="L100" s="26" t="s">
        <v>1670</v>
      </c>
      <c r="M100" s="41" t="s">
        <v>975</v>
      </c>
      <c r="N100" s="39" t="s">
        <v>72</v>
      </c>
      <c r="O100" s="39" t="s">
        <v>426</v>
      </c>
      <c r="P100" s="42">
        <v>6.38366777E8</v>
      </c>
      <c r="Q100" s="43"/>
      <c r="R100" s="115" t="s">
        <v>41</v>
      </c>
      <c r="S100" s="46"/>
      <c r="T100" s="66" t="s">
        <v>1671</v>
      </c>
      <c r="U100" s="53">
        <v>34124.0</v>
      </c>
      <c r="V100" s="31" t="s">
        <v>77</v>
      </c>
      <c r="W100" s="55">
        <f t="shared" si="2"/>
        <v>33</v>
      </c>
      <c r="X100" s="55" t="s">
        <v>98</v>
      </c>
      <c r="Y100" s="55" t="s">
        <v>428</v>
      </c>
      <c r="Z100" s="55" t="s">
        <v>1338</v>
      </c>
      <c r="AA100" s="55"/>
      <c r="AB100" s="55"/>
      <c r="AC100" s="55"/>
      <c r="AD100" s="55" t="s">
        <v>1672</v>
      </c>
      <c r="AE100" s="55" t="s">
        <v>1673</v>
      </c>
    </row>
    <row r="101">
      <c r="A101" s="22">
        <v>100.0</v>
      </c>
      <c r="B101" s="82" t="s">
        <v>349</v>
      </c>
      <c r="C101" s="26" t="s">
        <v>1674</v>
      </c>
      <c r="D101" s="26" t="s">
        <v>1675</v>
      </c>
      <c r="E101" s="37" t="str">
        <f t="shared" si="1"/>
        <v>ส.อ. ณัฐพงศ์ พิพัฒน์สำโรง</v>
      </c>
      <c r="F101" s="118" t="s">
        <v>353</v>
      </c>
      <c r="G101" s="26" t="s">
        <v>1676</v>
      </c>
      <c r="H101" s="29" t="s">
        <v>1677</v>
      </c>
      <c r="I101" s="39">
        <v>1.577500648E9</v>
      </c>
      <c r="J101" s="39">
        <v>1.400900228908E12</v>
      </c>
      <c r="K101" s="40" t="s">
        <v>1056</v>
      </c>
      <c r="L101" s="26" t="s">
        <v>1640</v>
      </c>
      <c r="M101" s="41" t="s">
        <v>1678</v>
      </c>
      <c r="N101" s="39" t="s">
        <v>72</v>
      </c>
      <c r="O101" s="39" t="s">
        <v>426</v>
      </c>
      <c r="P101" s="42">
        <v>9.37815161E8</v>
      </c>
      <c r="Q101" s="43"/>
      <c r="R101" s="115" t="s">
        <v>41</v>
      </c>
      <c r="S101" s="46"/>
      <c r="T101" s="66" t="s">
        <v>1679</v>
      </c>
      <c r="U101" s="53">
        <v>34967.0</v>
      </c>
      <c r="V101" s="31" t="s">
        <v>77</v>
      </c>
      <c r="W101" s="55">
        <f t="shared" si="2"/>
        <v>31</v>
      </c>
      <c r="X101" s="55" t="s">
        <v>98</v>
      </c>
      <c r="Y101" s="55" t="s">
        <v>428</v>
      </c>
      <c r="Z101" s="55" t="s">
        <v>1680</v>
      </c>
      <c r="AA101" s="114" t="s">
        <v>1681</v>
      </c>
      <c r="AB101" s="58" t="s">
        <v>1682</v>
      </c>
      <c r="AC101" s="55"/>
      <c r="AD101" s="55" t="s">
        <v>1683</v>
      </c>
      <c r="AE101" s="55" t="s">
        <v>1684</v>
      </c>
    </row>
    <row r="102">
      <c r="A102" s="103">
        <v>101.0</v>
      </c>
      <c r="B102" s="118" t="s">
        <v>135</v>
      </c>
      <c r="C102" s="26" t="s">
        <v>463</v>
      </c>
      <c r="D102" s="29" t="s">
        <v>466</v>
      </c>
      <c r="E102" s="37" t="str">
        <f t="shared" si="1"/>
        <v>ร.ท. ภาสวิชญ์ นิลพัฒน์</v>
      </c>
      <c r="F102" s="24" t="s">
        <v>80</v>
      </c>
      <c r="G102" s="26" t="s">
        <v>474</v>
      </c>
      <c r="H102" s="29" t="s">
        <v>475</v>
      </c>
      <c r="I102" s="39">
        <v>1.593317578E9</v>
      </c>
      <c r="J102" s="39">
        <v>1.103702625167E12</v>
      </c>
      <c r="K102" s="40" t="s">
        <v>392</v>
      </c>
      <c r="L102" s="29" t="s">
        <v>478</v>
      </c>
      <c r="M102" s="41" t="s">
        <v>1685</v>
      </c>
      <c r="N102" s="39" t="s">
        <v>85</v>
      </c>
      <c r="O102" s="39" t="s">
        <v>73</v>
      </c>
      <c r="P102" s="42">
        <v>9.88258132E8</v>
      </c>
      <c r="Q102" s="43"/>
      <c r="R102" s="45" t="s">
        <v>44</v>
      </c>
      <c r="S102" s="46"/>
      <c r="T102" s="66" t="s">
        <v>1686</v>
      </c>
      <c r="U102" s="53">
        <v>35978.0</v>
      </c>
      <c r="V102" s="31" t="s">
        <v>77</v>
      </c>
      <c r="W102" s="55">
        <f t="shared" si="2"/>
        <v>28</v>
      </c>
      <c r="X102" s="55" t="s">
        <v>98</v>
      </c>
      <c r="Y102" s="55" t="s">
        <v>99</v>
      </c>
      <c r="Z102" s="55" t="s">
        <v>1687</v>
      </c>
      <c r="AA102" s="55"/>
      <c r="AB102" s="55"/>
      <c r="AC102" s="55"/>
      <c r="AD102" s="55" t="s">
        <v>1688</v>
      </c>
      <c r="AE102" s="55" t="s">
        <v>1689</v>
      </c>
    </row>
    <row r="103">
      <c r="A103" s="103">
        <v>102.0</v>
      </c>
      <c r="B103" s="118" t="s">
        <v>106</v>
      </c>
      <c r="C103" s="26" t="s">
        <v>1690</v>
      </c>
      <c r="D103" s="29" t="s">
        <v>1691</v>
      </c>
      <c r="E103" s="37" t="str">
        <f t="shared" si="1"/>
        <v>จ.ส.อ. ทัศนพงศ์ คงสำราญ</v>
      </c>
      <c r="F103" s="24" t="s">
        <v>111</v>
      </c>
      <c r="G103" s="26" t="s">
        <v>1692</v>
      </c>
      <c r="H103" s="29" t="s">
        <v>1693</v>
      </c>
      <c r="I103" s="39">
        <v>1.486400405E9</v>
      </c>
      <c r="J103" s="39">
        <v>1.729900021535E12</v>
      </c>
      <c r="K103" s="40" t="s">
        <v>542</v>
      </c>
      <c r="L103" s="29" t="s">
        <v>1694</v>
      </c>
      <c r="M103" s="41" t="s">
        <v>1695</v>
      </c>
      <c r="N103" s="39" t="s">
        <v>72</v>
      </c>
      <c r="O103" s="39" t="s">
        <v>73</v>
      </c>
      <c r="P103" s="42">
        <v>8.3860419E8</v>
      </c>
      <c r="Q103" s="43"/>
      <c r="R103" s="45" t="s">
        <v>44</v>
      </c>
      <c r="S103" s="46"/>
      <c r="T103" s="66" t="s">
        <v>1696</v>
      </c>
      <c r="U103" s="53">
        <v>31159.0</v>
      </c>
      <c r="V103" s="31" t="s">
        <v>77</v>
      </c>
      <c r="W103" s="55">
        <f t="shared" si="2"/>
        <v>41</v>
      </c>
      <c r="X103" s="55" t="s">
        <v>98</v>
      </c>
      <c r="Y103" s="55" t="s">
        <v>428</v>
      </c>
      <c r="Z103" s="55" t="s">
        <v>1697</v>
      </c>
      <c r="AA103" s="114" t="s">
        <v>1698</v>
      </c>
      <c r="AB103" s="58" t="s">
        <v>1699</v>
      </c>
      <c r="AC103" s="55"/>
      <c r="AD103" s="55" t="s">
        <v>1700</v>
      </c>
      <c r="AE103" s="55" t="s">
        <v>1701</v>
      </c>
    </row>
    <row r="104">
      <c r="A104" s="103">
        <v>103.0</v>
      </c>
      <c r="B104" s="118" t="s">
        <v>349</v>
      </c>
      <c r="C104" s="26" t="s">
        <v>1702</v>
      </c>
      <c r="D104" s="29" t="s">
        <v>1703</v>
      </c>
      <c r="E104" s="37" t="str">
        <f t="shared" si="1"/>
        <v>ส.อ. ศุทธวีร์ เทพนิมิตร</v>
      </c>
      <c r="F104" s="24" t="s">
        <v>353</v>
      </c>
      <c r="G104" s="26" t="s">
        <v>1704</v>
      </c>
      <c r="H104" s="29" t="s">
        <v>1705</v>
      </c>
      <c r="I104" s="39">
        <v>1.554900507E9</v>
      </c>
      <c r="J104" s="39">
        <v>1.709900821809E12</v>
      </c>
      <c r="K104" s="40" t="s">
        <v>1706</v>
      </c>
      <c r="L104" s="29" t="s">
        <v>1707</v>
      </c>
      <c r="M104" s="41" t="s">
        <v>1708</v>
      </c>
      <c r="N104" s="39" t="s">
        <v>72</v>
      </c>
      <c r="O104" s="39" t="s">
        <v>73</v>
      </c>
      <c r="P104" s="42">
        <v>9.12769395E8</v>
      </c>
      <c r="Q104" s="43"/>
      <c r="R104" s="45" t="s">
        <v>44</v>
      </c>
      <c r="S104" s="46"/>
      <c r="T104" s="66" t="s">
        <v>1709</v>
      </c>
      <c r="U104" s="53">
        <v>34201.0</v>
      </c>
      <c r="V104" s="31" t="s">
        <v>77</v>
      </c>
      <c r="W104" s="55">
        <f t="shared" si="2"/>
        <v>33</v>
      </c>
      <c r="X104" s="55" t="s">
        <v>98</v>
      </c>
      <c r="Y104" s="55" t="s">
        <v>428</v>
      </c>
      <c r="Z104" s="55" t="s">
        <v>1710</v>
      </c>
      <c r="AA104" s="58" t="s">
        <v>1711</v>
      </c>
      <c r="AB104" s="58" t="s">
        <v>1712</v>
      </c>
      <c r="AC104" s="55"/>
      <c r="AD104" s="55" t="s">
        <v>1713</v>
      </c>
      <c r="AE104" s="55" t="s">
        <v>1714</v>
      </c>
    </row>
    <row r="105">
      <c r="A105" s="103">
        <v>104.0</v>
      </c>
      <c r="B105" s="118" t="s">
        <v>106</v>
      </c>
      <c r="C105" s="26" t="s">
        <v>1715</v>
      </c>
      <c r="D105" s="29" t="s">
        <v>1716</v>
      </c>
      <c r="E105" s="37" t="str">
        <f t="shared" si="1"/>
        <v>จ.ส.อ. อภิชาติ จำเหล่</v>
      </c>
      <c r="F105" s="24" t="s">
        <v>111</v>
      </c>
      <c r="G105" s="26" t="s">
        <v>1717</v>
      </c>
      <c r="H105" s="29" t="s">
        <v>1718</v>
      </c>
      <c r="I105" s="39">
        <v>1.504900085E9</v>
      </c>
      <c r="J105" s="39">
        <v>1.102000573379E12</v>
      </c>
      <c r="K105" s="40" t="s">
        <v>1706</v>
      </c>
      <c r="L105" s="29" t="s">
        <v>1719</v>
      </c>
      <c r="M105" s="41" t="s">
        <v>1720</v>
      </c>
      <c r="N105" s="39" t="s">
        <v>155</v>
      </c>
      <c r="O105" s="39" t="s">
        <v>73</v>
      </c>
      <c r="P105" s="42">
        <v>8.1527175E8</v>
      </c>
      <c r="Q105" s="43"/>
      <c r="R105" s="45" t="s">
        <v>44</v>
      </c>
      <c r="S105" s="46"/>
      <c r="T105" s="66" t="s">
        <v>1721</v>
      </c>
      <c r="U105" s="53">
        <v>31473.0</v>
      </c>
      <c r="V105" s="31" t="s">
        <v>77</v>
      </c>
      <c r="W105" s="55">
        <f t="shared" si="2"/>
        <v>40</v>
      </c>
      <c r="X105" s="55" t="s">
        <v>98</v>
      </c>
      <c r="Y105" s="55" t="s">
        <v>428</v>
      </c>
      <c r="Z105" s="55" t="s">
        <v>847</v>
      </c>
      <c r="AA105" s="114" t="s">
        <v>1722</v>
      </c>
      <c r="AB105" s="58" t="s">
        <v>1723</v>
      </c>
      <c r="AC105" s="55"/>
      <c r="AD105" s="55" t="s">
        <v>1724</v>
      </c>
      <c r="AE105" s="55" t="s">
        <v>1725</v>
      </c>
    </row>
    <row r="106">
      <c r="A106" s="103">
        <v>105.0</v>
      </c>
      <c r="B106" s="34" t="s">
        <v>106</v>
      </c>
      <c r="C106" s="35" t="s">
        <v>1726</v>
      </c>
      <c r="D106" s="36" t="s">
        <v>1727</v>
      </c>
      <c r="E106" s="102" t="str">
        <f t="shared" si="1"/>
        <v>จ.ส.อ. เชาวฤทธิ์ คำแผ่น</v>
      </c>
      <c r="F106" s="63" t="s">
        <v>111</v>
      </c>
      <c r="G106" s="35" t="s">
        <v>1728</v>
      </c>
      <c r="H106" s="36" t="s">
        <v>1729</v>
      </c>
      <c r="I106" s="48">
        <v>1.497101019E9</v>
      </c>
      <c r="J106" s="48">
        <v>1.349900216178E12</v>
      </c>
      <c r="K106" s="40" t="s">
        <v>1730</v>
      </c>
      <c r="L106" s="29" t="s">
        <v>1202</v>
      </c>
      <c r="M106" s="41" t="s">
        <v>1098</v>
      </c>
      <c r="N106" s="39" t="s">
        <v>72</v>
      </c>
      <c r="O106" s="22" t="s">
        <v>73</v>
      </c>
      <c r="P106" s="42">
        <v>9.50378964E8</v>
      </c>
      <c r="Q106" s="43"/>
      <c r="R106" s="45" t="s">
        <v>44</v>
      </c>
      <c r="S106" s="46"/>
      <c r="T106" s="66" t="s">
        <v>1731</v>
      </c>
      <c r="U106" s="53">
        <v>32142.0</v>
      </c>
      <c r="V106" s="31" t="s">
        <v>77</v>
      </c>
      <c r="W106" s="55">
        <f t="shared" si="2"/>
        <v>38</v>
      </c>
      <c r="X106" s="55" t="s">
        <v>98</v>
      </c>
      <c r="Y106" s="55" t="s">
        <v>428</v>
      </c>
      <c r="Z106" s="55" t="s">
        <v>1732</v>
      </c>
      <c r="AA106" s="58" t="s">
        <v>1733</v>
      </c>
      <c r="AB106" s="58" t="s">
        <v>1734</v>
      </c>
      <c r="AC106" s="55"/>
      <c r="AD106" s="55" t="s">
        <v>1735</v>
      </c>
      <c r="AE106" s="55" t="s">
        <v>1736</v>
      </c>
    </row>
    <row r="107">
      <c r="A107" s="22">
        <v>106.0</v>
      </c>
      <c r="B107" s="24" t="s">
        <v>106</v>
      </c>
      <c r="C107" s="26" t="s">
        <v>1737</v>
      </c>
      <c r="D107" s="29" t="s">
        <v>1738</v>
      </c>
      <c r="E107" s="37" t="str">
        <f t="shared" si="1"/>
        <v>จ.ส.อ. สุรศักดิ์ มากนุ่น</v>
      </c>
      <c r="F107" s="24" t="s">
        <v>111</v>
      </c>
      <c r="G107" s="26" t="s">
        <v>1739</v>
      </c>
      <c r="H107" s="29" t="s">
        <v>1740</v>
      </c>
      <c r="I107" s="39">
        <v>1.3822012E9</v>
      </c>
      <c r="J107" s="39">
        <v>3.800700316342E12</v>
      </c>
      <c r="K107" s="40" t="s">
        <v>899</v>
      </c>
      <c r="L107" s="29" t="s">
        <v>1741</v>
      </c>
      <c r="M107" s="41" t="s">
        <v>1742</v>
      </c>
      <c r="N107" s="39" t="s">
        <v>155</v>
      </c>
      <c r="O107" s="39" t="s">
        <v>73</v>
      </c>
      <c r="P107" s="42">
        <v>8.98622404E8</v>
      </c>
      <c r="Q107" s="43"/>
      <c r="R107" s="45" t="s">
        <v>44</v>
      </c>
      <c r="S107" s="46"/>
      <c r="T107" s="66" t="s">
        <v>1743</v>
      </c>
      <c r="U107" s="53">
        <v>27327.0</v>
      </c>
      <c r="V107" s="31" t="s">
        <v>77</v>
      </c>
      <c r="W107" s="55">
        <f t="shared" si="2"/>
        <v>51</v>
      </c>
      <c r="X107" s="55" t="s">
        <v>98</v>
      </c>
      <c r="Y107" s="55" t="s">
        <v>428</v>
      </c>
      <c r="Z107" s="55" t="s">
        <v>1744</v>
      </c>
      <c r="AA107" s="58" t="s">
        <v>1745</v>
      </c>
      <c r="AB107" s="58" t="s">
        <v>1746</v>
      </c>
      <c r="AC107" s="55"/>
      <c r="AD107" s="55" t="s">
        <v>1747</v>
      </c>
      <c r="AE107" s="55" t="s">
        <v>1748</v>
      </c>
    </row>
    <row r="108">
      <c r="A108" s="103">
        <v>107.0</v>
      </c>
      <c r="B108" s="118" t="s">
        <v>349</v>
      </c>
      <c r="C108" s="26" t="s">
        <v>1749</v>
      </c>
      <c r="D108" s="29" t="s">
        <v>1750</v>
      </c>
      <c r="E108" s="37" t="str">
        <f t="shared" si="1"/>
        <v>ส.อ. จิรศักดิ์ จำปาซ่อนกลิ่น</v>
      </c>
      <c r="F108" s="24" t="s">
        <v>353</v>
      </c>
      <c r="G108" s="26" t="s">
        <v>1751</v>
      </c>
      <c r="H108" s="29" t="s">
        <v>1752</v>
      </c>
      <c r="I108" s="39">
        <v>1.586401172E9</v>
      </c>
      <c r="J108" s="39">
        <v>1.720400143935E12</v>
      </c>
      <c r="K108" s="40" t="s">
        <v>1753</v>
      </c>
      <c r="L108" s="29" t="s">
        <v>1754</v>
      </c>
      <c r="M108" s="41" t="s">
        <v>518</v>
      </c>
      <c r="N108" s="39" t="s">
        <v>72</v>
      </c>
      <c r="O108" s="39" t="s">
        <v>73</v>
      </c>
      <c r="P108" s="42">
        <v>6.16538052E8</v>
      </c>
      <c r="Q108" s="43"/>
      <c r="R108" s="45" t="s">
        <v>44</v>
      </c>
      <c r="S108" s="46"/>
      <c r="T108" s="66" t="s">
        <v>1755</v>
      </c>
      <c r="U108" s="53">
        <v>35348.0</v>
      </c>
      <c r="V108" s="31" t="s">
        <v>77</v>
      </c>
      <c r="W108" s="55">
        <f t="shared" si="2"/>
        <v>29</v>
      </c>
      <c r="X108" s="55" t="s">
        <v>98</v>
      </c>
      <c r="Y108" s="55" t="s">
        <v>428</v>
      </c>
      <c r="Z108" s="55" t="s">
        <v>1756</v>
      </c>
      <c r="AA108" s="58" t="s">
        <v>1757</v>
      </c>
      <c r="AB108" s="58" t="s">
        <v>1758</v>
      </c>
      <c r="AC108" s="55"/>
      <c r="AD108" s="55" t="s">
        <v>1759</v>
      </c>
      <c r="AE108" s="55" t="s">
        <v>1760</v>
      </c>
    </row>
    <row r="109">
      <c r="A109" s="22">
        <v>108.0</v>
      </c>
      <c r="B109" s="24" t="s">
        <v>106</v>
      </c>
      <c r="C109" s="26" t="s">
        <v>1761</v>
      </c>
      <c r="D109" s="29" t="s">
        <v>1762</v>
      </c>
      <c r="E109" s="37" t="str">
        <f t="shared" si="1"/>
        <v>จ.ส.อ. ศุภชัย ฟอกสันเทียะ</v>
      </c>
      <c r="F109" s="24" t="s">
        <v>111</v>
      </c>
      <c r="G109" s="26" t="s">
        <v>1763</v>
      </c>
      <c r="H109" s="29" t="s">
        <v>1764</v>
      </c>
      <c r="I109" s="39">
        <v>1.51210012E9</v>
      </c>
      <c r="J109" s="39">
        <v>1.300600117486E12</v>
      </c>
      <c r="K109" s="40" t="s">
        <v>1765</v>
      </c>
      <c r="L109" s="29" t="s">
        <v>1766</v>
      </c>
      <c r="M109" s="41" t="s">
        <v>1720</v>
      </c>
      <c r="N109" s="39" t="s">
        <v>72</v>
      </c>
      <c r="O109" s="39" t="s">
        <v>73</v>
      </c>
      <c r="P109" s="42">
        <v>8.16644595E8</v>
      </c>
      <c r="Q109" s="43"/>
      <c r="R109" s="45" t="s">
        <v>44</v>
      </c>
      <c r="S109" s="46"/>
      <c r="T109" s="66" t="s">
        <v>1767</v>
      </c>
      <c r="U109" s="57">
        <v>32534.0</v>
      </c>
      <c r="V109" s="31" t="s">
        <v>77</v>
      </c>
      <c r="W109" s="55">
        <f t="shared" si="2"/>
        <v>37</v>
      </c>
      <c r="X109" s="55" t="s">
        <v>98</v>
      </c>
      <c r="Y109" s="55" t="s">
        <v>428</v>
      </c>
      <c r="Z109" s="55" t="s">
        <v>1768</v>
      </c>
      <c r="AA109" s="58" t="s">
        <v>1769</v>
      </c>
      <c r="AB109" s="58" t="s">
        <v>1770</v>
      </c>
      <c r="AC109" s="55"/>
      <c r="AD109" s="55" t="s">
        <v>1771</v>
      </c>
      <c r="AE109" s="55" t="s">
        <v>1772</v>
      </c>
    </row>
    <row r="110">
      <c r="A110" s="103">
        <v>109.0</v>
      </c>
      <c r="B110" s="118" t="s">
        <v>349</v>
      </c>
      <c r="C110" s="26" t="s">
        <v>1773</v>
      </c>
      <c r="D110" s="29" t="s">
        <v>1774</v>
      </c>
      <c r="E110" s="37" t="str">
        <f t="shared" si="1"/>
        <v>ส.อ. สาธิต ท้วมสุข</v>
      </c>
      <c r="F110" s="24" t="s">
        <v>353</v>
      </c>
      <c r="G110" s="26" t="s">
        <v>1775</v>
      </c>
      <c r="H110" s="29" t="s">
        <v>1776</v>
      </c>
      <c r="I110" s="39">
        <v>1.511900968E9</v>
      </c>
      <c r="J110" s="39">
        <v>2.730100019692E12</v>
      </c>
      <c r="K110" s="40" t="s">
        <v>1777</v>
      </c>
      <c r="L110" s="29" t="s">
        <v>1778</v>
      </c>
      <c r="M110" s="41" t="s">
        <v>658</v>
      </c>
      <c r="N110" s="39" t="s">
        <v>85</v>
      </c>
      <c r="O110" s="39" t="s">
        <v>73</v>
      </c>
      <c r="P110" s="42">
        <v>8.00514521E8</v>
      </c>
      <c r="Q110" s="43"/>
      <c r="R110" s="45" t="s">
        <v>44</v>
      </c>
      <c r="S110" s="208"/>
      <c r="T110" s="66" t="s">
        <v>1779</v>
      </c>
      <c r="U110" s="53">
        <v>32800.0</v>
      </c>
      <c r="V110" s="31" t="s">
        <v>77</v>
      </c>
      <c r="W110" s="55">
        <f t="shared" si="2"/>
        <v>36</v>
      </c>
      <c r="X110" s="55" t="s">
        <v>98</v>
      </c>
      <c r="Y110" s="55" t="s">
        <v>428</v>
      </c>
      <c r="Z110" s="55" t="s">
        <v>1780</v>
      </c>
      <c r="AA110" s="58" t="s">
        <v>1781</v>
      </c>
      <c r="AB110" s="58" t="s">
        <v>1782</v>
      </c>
      <c r="AC110" s="55"/>
      <c r="AD110" s="55" t="s">
        <v>1783</v>
      </c>
      <c r="AE110" s="55" t="s">
        <v>1784</v>
      </c>
    </row>
    <row r="111">
      <c r="A111" s="22">
        <v>110.0</v>
      </c>
      <c r="B111" s="24" t="s">
        <v>349</v>
      </c>
      <c r="C111" s="26" t="s">
        <v>1785</v>
      </c>
      <c r="D111" s="29" t="s">
        <v>1786</v>
      </c>
      <c r="E111" s="37" t="str">
        <f t="shared" si="1"/>
        <v>ส.อ. ภานุวัฒน์ แจ่มพลาย</v>
      </c>
      <c r="F111" s="24" t="s">
        <v>353</v>
      </c>
      <c r="G111" s="26" t="s">
        <v>1649</v>
      </c>
      <c r="H111" s="29" t="s">
        <v>1787</v>
      </c>
      <c r="I111" s="39">
        <v>1.616000045E9</v>
      </c>
      <c r="J111" s="39">
        <v>1.101500947951E12</v>
      </c>
      <c r="K111" s="40" t="s">
        <v>1788</v>
      </c>
      <c r="L111" s="29" t="s">
        <v>1789</v>
      </c>
      <c r="M111" s="41" t="s">
        <v>1790</v>
      </c>
      <c r="N111" s="39" t="s">
        <v>72</v>
      </c>
      <c r="O111" s="39" t="s">
        <v>73</v>
      </c>
      <c r="P111" s="42">
        <v>6.43539195E8</v>
      </c>
      <c r="Q111" s="43"/>
      <c r="R111" s="45" t="s">
        <v>44</v>
      </c>
      <c r="S111" s="208"/>
      <c r="T111" s="66" t="s">
        <v>1791</v>
      </c>
      <c r="U111" s="53">
        <v>35697.0</v>
      </c>
      <c r="V111" s="31" t="s">
        <v>77</v>
      </c>
      <c r="W111" s="55">
        <f t="shared" si="2"/>
        <v>29</v>
      </c>
      <c r="X111" s="55" t="s">
        <v>98</v>
      </c>
      <c r="Y111" s="55" t="s">
        <v>428</v>
      </c>
      <c r="Z111" s="55" t="s">
        <v>1289</v>
      </c>
      <c r="AA111" s="58" t="s">
        <v>1792</v>
      </c>
      <c r="AB111" s="58" t="s">
        <v>1793</v>
      </c>
      <c r="AC111" s="55"/>
      <c r="AD111" s="55" t="s">
        <v>1794</v>
      </c>
      <c r="AE111" s="55" t="s">
        <v>1795</v>
      </c>
    </row>
    <row r="112">
      <c r="A112" s="103">
        <v>111.0</v>
      </c>
      <c r="B112" s="171" t="s">
        <v>1796</v>
      </c>
      <c r="C112" s="26" t="s">
        <v>386</v>
      </c>
      <c r="D112" s="29" t="s">
        <v>1797</v>
      </c>
      <c r="E112" s="37" t="str">
        <f t="shared" si="1"/>
        <v>จ.ส.ต.
 จิรายุทธ พวงทอง</v>
      </c>
      <c r="F112" s="98" t="s">
        <v>111</v>
      </c>
      <c r="G112" s="26" t="s">
        <v>1798</v>
      </c>
      <c r="H112" s="29" t="s">
        <v>1799</v>
      </c>
      <c r="I112" s="39">
        <v>1.574901722E9</v>
      </c>
      <c r="J112" s="39">
        <v>1.700200066082E12</v>
      </c>
      <c r="K112" s="40" t="s">
        <v>1788</v>
      </c>
      <c r="L112" s="29" t="s">
        <v>1800</v>
      </c>
      <c r="M112" s="41" t="s">
        <v>1801</v>
      </c>
      <c r="N112" s="39" t="s">
        <v>85</v>
      </c>
      <c r="O112" s="39" t="s">
        <v>73</v>
      </c>
      <c r="P112" s="42">
        <v>9.90731001E8</v>
      </c>
      <c r="Q112" s="43"/>
      <c r="R112" s="45" t="s">
        <v>44</v>
      </c>
      <c r="S112" s="208"/>
      <c r="T112" s="66" t="s">
        <v>1802</v>
      </c>
      <c r="U112" s="53">
        <v>34323.0</v>
      </c>
      <c r="V112" s="31" t="s">
        <v>77</v>
      </c>
      <c r="W112" s="55">
        <f t="shared" si="2"/>
        <v>32</v>
      </c>
      <c r="X112" s="55" t="s">
        <v>98</v>
      </c>
      <c r="Y112" s="55" t="s">
        <v>428</v>
      </c>
      <c r="Z112" s="55" t="s">
        <v>1803</v>
      </c>
      <c r="AA112" s="58" t="s">
        <v>1804</v>
      </c>
      <c r="AB112" s="58" t="s">
        <v>1805</v>
      </c>
      <c r="AC112" s="55"/>
      <c r="AD112" s="55" t="s">
        <v>1806</v>
      </c>
      <c r="AE112" s="55" t="s">
        <v>1807</v>
      </c>
    </row>
    <row r="113">
      <c r="A113" s="22">
        <v>112.0</v>
      </c>
      <c r="B113" s="24" t="s">
        <v>106</v>
      </c>
      <c r="C113" s="26" t="s">
        <v>1808</v>
      </c>
      <c r="D113" s="29" t="s">
        <v>1809</v>
      </c>
      <c r="E113" s="37" t="str">
        <f t="shared" si="1"/>
        <v>จ.ส.อ. จิรพณฑ์ เล่ห์กล</v>
      </c>
      <c r="F113" s="24" t="s">
        <v>111</v>
      </c>
      <c r="G113" s="26" t="s">
        <v>1810</v>
      </c>
      <c r="H113" s="29" t="s">
        <v>1811</v>
      </c>
      <c r="I113" s="39">
        <v>1.544900344E9</v>
      </c>
      <c r="J113" s="39">
        <v>1.440400103278E12</v>
      </c>
      <c r="K113" s="40" t="s">
        <v>1812</v>
      </c>
      <c r="L113" s="29" t="s">
        <v>1813</v>
      </c>
      <c r="M113" s="41" t="s">
        <v>1814</v>
      </c>
      <c r="N113" s="39" t="s">
        <v>188</v>
      </c>
      <c r="O113" s="39" t="s">
        <v>73</v>
      </c>
      <c r="P113" s="42">
        <v>8.25457046E8</v>
      </c>
      <c r="Q113" s="43"/>
      <c r="R113" s="45" t="s">
        <v>44</v>
      </c>
      <c r="S113" s="208"/>
      <c r="T113" s="66" t="s">
        <v>1815</v>
      </c>
      <c r="U113" s="53">
        <v>32470.0</v>
      </c>
      <c r="V113" s="31" t="s">
        <v>77</v>
      </c>
      <c r="W113" s="55">
        <f t="shared" si="2"/>
        <v>37</v>
      </c>
      <c r="X113" s="55" t="s">
        <v>98</v>
      </c>
      <c r="Y113" s="55" t="s">
        <v>428</v>
      </c>
      <c r="Z113" s="55" t="s">
        <v>1816</v>
      </c>
      <c r="AA113" s="58" t="s">
        <v>1817</v>
      </c>
      <c r="AB113" s="58" t="s">
        <v>1818</v>
      </c>
      <c r="AC113" s="55"/>
      <c r="AD113" s="55" t="s">
        <v>1819</v>
      </c>
      <c r="AE113" s="55" t="s">
        <v>1820</v>
      </c>
    </row>
    <row r="114">
      <c r="A114" s="103">
        <v>113.0</v>
      </c>
      <c r="B114" s="171" t="s">
        <v>646</v>
      </c>
      <c r="C114" s="26" t="s">
        <v>1821</v>
      </c>
      <c r="D114" s="29" t="s">
        <v>1822</v>
      </c>
      <c r="E114" s="37" t="str">
        <f t="shared" si="1"/>
        <v>จ.ส.ต. ชลวัฒน์ ยิ้มสะอาด</v>
      </c>
      <c r="F114" s="24" t="s">
        <v>353</v>
      </c>
      <c r="G114" s="26" t="s">
        <v>1823</v>
      </c>
      <c r="H114" s="29" t="s">
        <v>1824</v>
      </c>
      <c r="I114" s="39">
        <v>1.581900279E9</v>
      </c>
      <c r="J114" s="39">
        <v>1.73990063247E12</v>
      </c>
      <c r="K114" s="40" t="s">
        <v>1825</v>
      </c>
      <c r="L114" s="79" t="s">
        <v>1826</v>
      </c>
      <c r="M114" s="41" t="s">
        <v>1297</v>
      </c>
      <c r="N114" s="39" t="s">
        <v>155</v>
      </c>
      <c r="O114" s="39" t="s">
        <v>73</v>
      </c>
      <c r="P114" s="42">
        <v>8.53716796E8</v>
      </c>
      <c r="Q114" s="43"/>
      <c r="R114" s="45" t="s">
        <v>44</v>
      </c>
      <c r="S114" s="208"/>
      <c r="T114" s="66" t="s">
        <v>1827</v>
      </c>
      <c r="U114" s="53">
        <v>35332.0</v>
      </c>
      <c r="V114" s="31" t="s">
        <v>77</v>
      </c>
      <c r="W114" s="55">
        <f t="shared" si="2"/>
        <v>30</v>
      </c>
      <c r="X114" s="55" t="s">
        <v>98</v>
      </c>
      <c r="Y114" s="55" t="s">
        <v>428</v>
      </c>
      <c r="Z114" s="55" t="s">
        <v>1828</v>
      </c>
      <c r="AA114" s="55"/>
      <c r="AB114" s="55"/>
      <c r="AC114" s="55"/>
      <c r="AD114" s="55" t="s">
        <v>1829</v>
      </c>
      <c r="AE114" s="55" t="s">
        <v>1830</v>
      </c>
    </row>
    <row r="115">
      <c r="A115" s="22">
        <v>114.0</v>
      </c>
      <c r="B115" s="24" t="s">
        <v>106</v>
      </c>
      <c r="C115" s="26" t="s">
        <v>1831</v>
      </c>
      <c r="D115" s="29" t="s">
        <v>1832</v>
      </c>
      <c r="E115" s="37" t="str">
        <f t="shared" si="1"/>
        <v>จ.ส.อ. ชิติสรรค์ ชยธิการ</v>
      </c>
      <c r="F115" s="24" t="s">
        <v>111</v>
      </c>
      <c r="G115" s="26" t="s">
        <v>1833</v>
      </c>
      <c r="H115" s="29" t="s">
        <v>1834</v>
      </c>
      <c r="I115" s="39">
        <v>1.37490217E9</v>
      </c>
      <c r="J115" s="39">
        <v>3.700700801373E12</v>
      </c>
      <c r="K115" s="40" t="s">
        <v>1835</v>
      </c>
      <c r="L115" s="29" t="s">
        <v>564</v>
      </c>
      <c r="M115" s="41" t="s">
        <v>1308</v>
      </c>
      <c r="N115" s="39" t="s">
        <v>155</v>
      </c>
      <c r="O115" s="39" t="s">
        <v>73</v>
      </c>
      <c r="P115" s="42" t="s">
        <v>1836</v>
      </c>
      <c r="Q115" s="43"/>
      <c r="R115" s="45" t="s">
        <v>44</v>
      </c>
      <c r="S115" s="208"/>
      <c r="T115" s="66" t="s">
        <v>1837</v>
      </c>
      <c r="U115" s="53">
        <v>27146.0</v>
      </c>
      <c r="V115" s="31" t="s">
        <v>77</v>
      </c>
      <c r="W115" s="55">
        <f t="shared" si="2"/>
        <v>52</v>
      </c>
      <c r="X115" s="55" t="s">
        <v>98</v>
      </c>
      <c r="Y115" s="55" t="s">
        <v>428</v>
      </c>
      <c r="Z115" s="55" t="s">
        <v>1838</v>
      </c>
      <c r="AA115" s="55"/>
      <c r="AB115" s="55"/>
      <c r="AC115" s="55"/>
      <c r="AD115" s="55" t="s">
        <v>1839</v>
      </c>
      <c r="AE115" s="55" t="s">
        <v>1840</v>
      </c>
    </row>
    <row r="116">
      <c r="A116" s="103">
        <v>115.0</v>
      </c>
      <c r="B116" s="171" t="s">
        <v>398</v>
      </c>
      <c r="C116" s="26" t="s">
        <v>1841</v>
      </c>
      <c r="D116" s="29" t="s">
        <v>1842</v>
      </c>
      <c r="E116" s="37" t="str">
        <f t="shared" si="1"/>
        <v>จ.ส.ท. สุวัฒน์ ครุฑเครือ</v>
      </c>
      <c r="F116" s="98" t="s">
        <v>410</v>
      </c>
      <c r="G116" s="26" t="s">
        <v>1843</v>
      </c>
      <c r="H116" s="29" t="s">
        <v>1844</v>
      </c>
      <c r="I116" s="39">
        <v>1.51490046E9</v>
      </c>
      <c r="J116" s="39">
        <v>1.70990043984E12</v>
      </c>
      <c r="K116" s="137" t="s">
        <v>1845</v>
      </c>
      <c r="L116" s="29" t="s">
        <v>1846</v>
      </c>
      <c r="M116" s="41" t="s">
        <v>1847</v>
      </c>
      <c r="N116" s="39" t="s">
        <v>85</v>
      </c>
      <c r="O116" s="22" t="s">
        <v>73</v>
      </c>
      <c r="P116" s="42">
        <v>9.0983861E8</v>
      </c>
      <c r="Q116" s="43"/>
      <c r="R116" s="45" t="s">
        <v>44</v>
      </c>
      <c r="S116" s="208"/>
      <c r="T116" s="66" t="s">
        <v>1848</v>
      </c>
      <c r="U116" s="53">
        <v>32591.0</v>
      </c>
      <c r="V116" s="31" t="s">
        <v>77</v>
      </c>
      <c r="W116" s="55">
        <f t="shared" si="2"/>
        <v>37</v>
      </c>
      <c r="X116" s="55" t="s">
        <v>98</v>
      </c>
      <c r="Y116" s="55" t="s">
        <v>428</v>
      </c>
      <c r="Z116" s="55" t="s">
        <v>1338</v>
      </c>
      <c r="AA116" s="114" t="s">
        <v>1849</v>
      </c>
      <c r="AB116" s="58" t="s">
        <v>1850</v>
      </c>
      <c r="AC116" s="55"/>
      <c r="AD116" s="55" t="s">
        <v>1851</v>
      </c>
      <c r="AE116" s="55" t="s">
        <v>1852</v>
      </c>
    </row>
    <row r="117">
      <c r="A117" s="103">
        <v>116.0</v>
      </c>
      <c r="B117" s="118" t="s">
        <v>106</v>
      </c>
      <c r="C117" s="26" t="s">
        <v>1155</v>
      </c>
      <c r="D117" s="29" t="s">
        <v>1853</v>
      </c>
      <c r="E117" s="37" t="str">
        <f t="shared" si="1"/>
        <v>จ.ส.อ. เอกชัย มัชมี</v>
      </c>
      <c r="F117" s="24" t="s">
        <v>111</v>
      </c>
      <c r="G117" s="26" t="s">
        <v>1158</v>
      </c>
      <c r="H117" s="29" t="s">
        <v>1854</v>
      </c>
      <c r="I117" s="39">
        <v>1.494901669E9</v>
      </c>
      <c r="J117" s="39">
        <v>3.700701075196E12</v>
      </c>
      <c r="K117" s="40" t="s">
        <v>899</v>
      </c>
      <c r="L117" s="29" t="s">
        <v>1855</v>
      </c>
      <c r="M117" s="41" t="s">
        <v>1098</v>
      </c>
      <c r="N117" s="39" t="s">
        <v>155</v>
      </c>
      <c r="O117" s="39" t="s">
        <v>73</v>
      </c>
      <c r="P117" s="42">
        <v>8.32371669E8</v>
      </c>
      <c r="Q117" s="43"/>
      <c r="R117" s="45" t="s">
        <v>44</v>
      </c>
      <c r="S117" s="208"/>
      <c r="T117" s="66" t="s">
        <v>1856</v>
      </c>
      <c r="U117" s="53">
        <v>29656.0</v>
      </c>
      <c r="V117" s="31" t="s">
        <v>77</v>
      </c>
      <c r="W117" s="55">
        <f t="shared" si="2"/>
        <v>45</v>
      </c>
      <c r="X117" s="55" t="s">
        <v>98</v>
      </c>
      <c r="Y117" s="55" t="s">
        <v>428</v>
      </c>
      <c r="Z117" s="55" t="s">
        <v>980</v>
      </c>
      <c r="AA117" s="58" t="s">
        <v>1857</v>
      </c>
      <c r="AB117" s="58" t="s">
        <v>1858</v>
      </c>
      <c r="AC117" s="55"/>
      <c r="AD117" s="55" t="s">
        <v>1859</v>
      </c>
      <c r="AE117" s="55" t="s">
        <v>1860</v>
      </c>
    </row>
    <row r="118">
      <c r="A118" s="103">
        <v>117.0</v>
      </c>
      <c r="B118" s="118" t="s">
        <v>106</v>
      </c>
      <c r="C118" s="26" t="s">
        <v>1861</v>
      </c>
      <c r="D118" s="29" t="s">
        <v>1862</v>
      </c>
      <c r="E118" s="37" t="str">
        <f t="shared" si="1"/>
        <v>จ.ส.อ. อนันตชัย ดวงดารา</v>
      </c>
      <c r="F118" s="24" t="s">
        <v>111</v>
      </c>
      <c r="G118" s="26" t="s">
        <v>1863</v>
      </c>
      <c r="H118" s="29" t="s">
        <v>1864</v>
      </c>
      <c r="I118" s="39">
        <v>1.562800964E9</v>
      </c>
      <c r="J118" s="39">
        <v>1.319800116791E12</v>
      </c>
      <c r="K118" s="40" t="s">
        <v>1865</v>
      </c>
      <c r="L118" s="29" t="s">
        <v>1866</v>
      </c>
      <c r="M118" s="41" t="s">
        <v>954</v>
      </c>
      <c r="N118" s="39" t="s">
        <v>155</v>
      </c>
      <c r="O118" s="39" t="s">
        <v>73</v>
      </c>
      <c r="P118" s="42">
        <v>8.21307175E8</v>
      </c>
      <c r="Q118" s="43"/>
      <c r="R118" s="45" t="s">
        <v>44</v>
      </c>
      <c r="S118" s="208"/>
      <c r="T118" s="66" t="s">
        <v>1867</v>
      </c>
      <c r="U118" s="53">
        <v>34448.0</v>
      </c>
      <c r="V118" s="31" t="s">
        <v>77</v>
      </c>
      <c r="W118" s="55">
        <f t="shared" si="2"/>
        <v>32</v>
      </c>
      <c r="X118" s="55" t="s">
        <v>98</v>
      </c>
      <c r="Y118" s="55" t="s">
        <v>428</v>
      </c>
      <c r="Z118" s="55" t="s">
        <v>1289</v>
      </c>
      <c r="AA118" s="58" t="s">
        <v>1868</v>
      </c>
      <c r="AB118" s="58" t="s">
        <v>1869</v>
      </c>
      <c r="AC118" s="55"/>
      <c r="AD118" s="55" t="s">
        <v>1870</v>
      </c>
      <c r="AE118" s="55" t="s">
        <v>1871</v>
      </c>
    </row>
    <row r="119">
      <c r="A119" s="103">
        <v>118.0</v>
      </c>
      <c r="B119" s="171" t="s">
        <v>646</v>
      </c>
      <c r="C119" s="26" t="s">
        <v>1872</v>
      </c>
      <c r="D119" s="29" t="s">
        <v>1873</v>
      </c>
      <c r="E119" s="37" t="str">
        <f t="shared" si="1"/>
        <v>จ.ส.ต. วารุฒ อาจปักษา</v>
      </c>
      <c r="F119" s="98" t="s">
        <v>659</v>
      </c>
      <c r="G119" s="26" t="s">
        <v>1874</v>
      </c>
      <c r="H119" s="29" t="s">
        <v>1875</v>
      </c>
      <c r="I119" s="39">
        <v>1.540201825E9</v>
      </c>
      <c r="J119" s="39">
        <v>1.70980016864E12</v>
      </c>
      <c r="K119" s="40" t="s">
        <v>1876</v>
      </c>
      <c r="L119" s="29" t="s">
        <v>1877</v>
      </c>
      <c r="M119" s="41" t="s">
        <v>1878</v>
      </c>
      <c r="N119" s="39" t="s">
        <v>72</v>
      </c>
      <c r="O119" s="39" t="s">
        <v>73</v>
      </c>
      <c r="P119" s="42">
        <v>8.55154556E8</v>
      </c>
      <c r="Q119" s="43"/>
      <c r="R119" s="45" t="s">
        <v>44</v>
      </c>
      <c r="S119" s="208"/>
      <c r="T119" s="66" t="s">
        <v>1879</v>
      </c>
      <c r="U119" s="53">
        <v>33764.0</v>
      </c>
      <c r="V119" s="31" t="s">
        <v>77</v>
      </c>
      <c r="W119" s="55">
        <f t="shared" si="2"/>
        <v>34</v>
      </c>
      <c r="X119" s="55" t="s">
        <v>98</v>
      </c>
      <c r="Y119" s="55" t="s">
        <v>428</v>
      </c>
      <c r="Z119" s="55" t="s">
        <v>1880</v>
      </c>
      <c r="AA119" s="58" t="s">
        <v>1881</v>
      </c>
      <c r="AB119" s="58" t="s">
        <v>1882</v>
      </c>
      <c r="AC119" s="55"/>
      <c r="AD119" s="55" t="s">
        <v>1883</v>
      </c>
      <c r="AE119" s="55" t="s">
        <v>1884</v>
      </c>
    </row>
    <row r="120">
      <c r="A120" s="103">
        <v>119.0</v>
      </c>
      <c r="B120" s="118" t="s">
        <v>349</v>
      </c>
      <c r="C120" s="26" t="s">
        <v>1885</v>
      </c>
      <c r="D120" s="29" t="s">
        <v>1886</v>
      </c>
      <c r="E120" s="37" t="str">
        <f t="shared" si="1"/>
        <v>ส.อ. กฤตนู เปรมยิ่ง</v>
      </c>
      <c r="F120" s="24" t="s">
        <v>353</v>
      </c>
      <c r="G120" s="26" t="s">
        <v>1887</v>
      </c>
      <c r="H120" s="29" t="s">
        <v>1888</v>
      </c>
      <c r="I120" s="39">
        <v>1.594901397E9</v>
      </c>
      <c r="J120" s="39">
        <v>1.959800123237E12</v>
      </c>
      <c r="K120" s="40" t="s">
        <v>1765</v>
      </c>
      <c r="L120" s="29" t="s">
        <v>1889</v>
      </c>
      <c r="M120" s="41" t="s">
        <v>1276</v>
      </c>
      <c r="N120" s="39" t="s">
        <v>155</v>
      </c>
      <c r="O120" s="39" t="s">
        <v>73</v>
      </c>
      <c r="P120" s="42">
        <v>6.14356E8</v>
      </c>
      <c r="Q120" s="43"/>
      <c r="R120" s="45" t="s">
        <v>44</v>
      </c>
      <c r="S120" s="208"/>
      <c r="T120" s="66" t="s">
        <v>1890</v>
      </c>
      <c r="U120" s="53">
        <v>35762.0</v>
      </c>
      <c r="V120" s="31" t="s">
        <v>77</v>
      </c>
      <c r="W120" s="55">
        <f t="shared" si="2"/>
        <v>28</v>
      </c>
      <c r="X120" s="55" t="s">
        <v>98</v>
      </c>
      <c r="Y120" s="55" t="s">
        <v>428</v>
      </c>
      <c r="Z120" s="55" t="s">
        <v>1891</v>
      </c>
      <c r="AA120" s="58" t="s">
        <v>1892</v>
      </c>
      <c r="AB120" s="58" t="s">
        <v>1893</v>
      </c>
      <c r="AC120" s="55"/>
      <c r="AD120" s="55" t="s">
        <v>1894</v>
      </c>
      <c r="AE120" s="55" t="s">
        <v>1895</v>
      </c>
    </row>
    <row r="121">
      <c r="A121" s="103">
        <v>120.0</v>
      </c>
      <c r="B121" s="171" t="s">
        <v>349</v>
      </c>
      <c r="C121" s="26" t="s">
        <v>1896</v>
      </c>
      <c r="D121" s="29" t="s">
        <v>1897</v>
      </c>
      <c r="E121" s="37" t="str">
        <f t="shared" si="1"/>
        <v>ส.อ. พัทธนันท์ สิงหา</v>
      </c>
      <c r="F121" s="98" t="s">
        <v>353</v>
      </c>
      <c r="G121" s="26" t="s">
        <v>1898</v>
      </c>
      <c r="H121" s="29" t="s">
        <v>1899</v>
      </c>
      <c r="I121" s="39">
        <v>1.601900633E9</v>
      </c>
      <c r="J121" s="39">
        <v>1.739900601736E12</v>
      </c>
      <c r="K121" s="137" t="s">
        <v>1777</v>
      </c>
      <c r="L121" s="29" t="s">
        <v>1900</v>
      </c>
      <c r="M121" s="41" t="s">
        <v>1901</v>
      </c>
      <c r="N121" s="39" t="s">
        <v>188</v>
      </c>
      <c r="O121" s="39" t="s">
        <v>73</v>
      </c>
      <c r="P121" s="42">
        <v>8.81485273E8</v>
      </c>
      <c r="Q121" s="43"/>
      <c r="R121" s="45" t="s">
        <v>44</v>
      </c>
      <c r="S121" s="208"/>
      <c r="T121" s="66" t="s">
        <v>1902</v>
      </c>
      <c r="U121" s="53">
        <v>35177.0</v>
      </c>
      <c r="V121" s="31" t="s">
        <v>77</v>
      </c>
      <c r="W121" s="55">
        <f t="shared" si="2"/>
        <v>30</v>
      </c>
      <c r="X121" s="55" t="s">
        <v>98</v>
      </c>
      <c r="Y121" s="55" t="s">
        <v>428</v>
      </c>
      <c r="Z121" s="55" t="s">
        <v>1903</v>
      </c>
      <c r="AA121" s="58" t="s">
        <v>1904</v>
      </c>
      <c r="AB121" s="58" t="s">
        <v>1905</v>
      </c>
      <c r="AC121" s="55"/>
      <c r="AD121" s="55" t="s">
        <v>1906</v>
      </c>
      <c r="AE121" s="55" t="s">
        <v>1907</v>
      </c>
    </row>
    <row r="122">
      <c r="A122" s="103">
        <v>121.0</v>
      </c>
      <c r="B122" s="118" t="s">
        <v>106</v>
      </c>
      <c r="C122" s="26" t="s">
        <v>1908</v>
      </c>
      <c r="D122" s="29" t="s">
        <v>1909</v>
      </c>
      <c r="E122" s="37" t="str">
        <f t="shared" si="1"/>
        <v>จ.ส.อ. ศักรินทร์ เสียงอ่อน</v>
      </c>
      <c r="F122" s="24" t="s">
        <v>111</v>
      </c>
      <c r="G122" s="26" t="s">
        <v>1910</v>
      </c>
      <c r="H122" s="29" t="s">
        <v>1911</v>
      </c>
      <c r="I122" s="39">
        <v>1.517300955E9</v>
      </c>
      <c r="J122" s="39">
        <v>1.569900052068E12</v>
      </c>
      <c r="K122" s="40" t="s">
        <v>1788</v>
      </c>
      <c r="L122" s="29" t="s">
        <v>1912</v>
      </c>
      <c r="M122" s="41" t="s">
        <v>1536</v>
      </c>
      <c r="N122" s="39" t="s">
        <v>188</v>
      </c>
      <c r="O122" s="39" t="s">
        <v>73</v>
      </c>
      <c r="P122" s="42">
        <v>6.12297825E8</v>
      </c>
      <c r="Q122" s="43"/>
      <c r="R122" s="45" t="s">
        <v>44</v>
      </c>
      <c r="S122" s="208"/>
      <c r="T122" s="66" t="s">
        <v>1913</v>
      </c>
      <c r="U122" s="53">
        <v>31791.0</v>
      </c>
      <c r="V122" s="31" t="s">
        <v>77</v>
      </c>
      <c r="W122" s="55">
        <f t="shared" si="2"/>
        <v>39</v>
      </c>
      <c r="X122" s="55" t="s">
        <v>98</v>
      </c>
      <c r="Y122" s="55" t="s">
        <v>428</v>
      </c>
      <c r="Z122" s="55" t="s">
        <v>1914</v>
      </c>
      <c r="AA122" s="58" t="s">
        <v>1915</v>
      </c>
      <c r="AB122" s="58" t="s">
        <v>1916</v>
      </c>
      <c r="AC122" s="55"/>
      <c r="AD122" s="55" t="s">
        <v>1917</v>
      </c>
      <c r="AE122" s="55" t="s">
        <v>1918</v>
      </c>
    </row>
    <row r="123">
      <c r="A123" s="103">
        <v>122.0</v>
      </c>
      <c r="B123" s="118" t="s">
        <v>322</v>
      </c>
      <c r="C123" s="26" t="s">
        <v>1919</v>
      </c>
      <c r="D123" s="29" t="s">
        <v>1920</v>
      </c>
      <c r="E123" s="37" t="str">
        <f t="shared" si="1"/>
        <v>ส.ท. อุดมศักดิ์ นิลฉวี</v>
      </c>
      <c r="F123" s="24" t="s">
        <v>603</v>
      </c>
      <c r="G123" s="26" t="s">
        <v>1921</v>
      </c>
      <c r="H123" s="29" t="s">
        <v>1922</v>
      </c>
      <c r="I123" s="39">
        <v>1.610600085E9</v>
      </c>
      <c r="J123" s="39">
        <v>1.220200037231E12</v>
      </c>
      <c r="K123" s="40" t="s">
        <v>1788</v>
      </c>
      <c r="L123" s="29" t="s">
        <v>1923</v>
      </c>
      <c r="M123" s="41" t="s">
        <v>1901</v>
      </c>
      <c r="N123" s="39" t="s">
        <v>72</v>
      </c>
      <c r="O123" s="39" t="s">
        <v>73</v>
      </c>
      <c r="P123" s="42">
        <v>9.84126477E8</v>
      </c>
      <c r="Q123" s="43"/>
      <c r="R123" s="45" t="s">
        <v>44</v>
      </c>
      <c r="S123" s="208"/>
      <c r="T123" s="66" t="s">
        <v>1924</v>
      </c>
      <c r="U123" s="53">
        <v>35115.0</v>
      </c>
      <c r="V123" s="31" t="s">
        <v>77</v>
      </c>
      <c r="W123" s="55">
        <f t="shared" si="2"/>
        <v>30</v>
      </c>
      <c r="X123" s="55" t="s">
        <v>98</v>
      </c>
      <c r="Y123" s="55" t="s">
        <v>428</v>
      </c>
      <c r="Z123" s="55" t="s">
        <v>1925</v>
      </c>
      <c r="AA123" s="58" t="s">
        <v>1926</v>
      </c>
      <c r="AB123" s="58" t="s">
        <v>1927</v>
      </c>
      <c r="AC123" s="55"/>
      <c r="AD123" s="55" t="s">
        <v>1928</v>
      </c>
      <c r="AE123" s="55" t="s">
        <v>1929</v>
      </c>
    </row>
    <row r="124">
      <c r="A124" s="103">
        <v>123.0</v>
      </c>
      <c r="B124" s="118" t="s">
        <v>349</v>
      </c>
      <c r="C124" s="26" t="s">
        <v>1930</v>
      </c>
      <c r="D124" s="29" t="s">
        <v>1931</v>
      </c>
      <c r="E124" s="37" t="str">
        <f t="shared" si="1"/>
        <v>ส.อ. กิตติพศ ใจหนัก</v>
      </c>
      <c r="F124" s="24" t="s">
        <v>353</v>
      </c>
      <c r="G124" s="26" t="s">
        <v>1932</v>
      </c>
      <c r="H124" s="29" t="s">
        <v>1933</v>
      </c>
      <c r="I124" s="39">
        <v>1.605900076E9</v>
      </c>
      <c r="J124" s="39">
        <v>1.759900295813E12</v>
      </c>
      <c r="K124" s="40" t="s">
        <v>1934</v>
      </c>
      <c r="L124" s="29" t="s">
        <v>1935</v>
      </c>
      <c r="M124" s="41" t="s">
        <v>1936</v>
      </c>
      <c r="N124" s="39" t="s">
        <v>72</v>
      </c>
      <c r="O124" s="39" t="s">
        <v>73</v>
      </c>
      <c r="P124" s="42">
        <v>9.32904884E8</v>
      </c>
      <c r="Q124" s="43"/>
      <c r="R124" s="45" t="s">
        <v>44</v>
      </c>
      <c r="S124" s="208"/>
      <c r="T124" s="66" t="s">
        <v>1937</v>
      </c>
      <c r="U124" s="53">
        <v>35272.0</v>
      </c>
      <c r="V124" s="31" t="s">
        <v>77</v>
      </c>
      <c r="W124" s="55">
        <f t="shared" si="2"/>
        <v>30</v>
      </c>
      <c r="X124" s="55" t="s">
        <v>98</v>
      </c>
      <c r="Y124" s="55" t="s">
        <v>428</v>
      </c>
      <c r="Z124" s="55" t="s">
        <v>1710</v>
      </c>
      <c r="AA124" s="58" t="s">
        <v>1938</v>
      </c>
      <c r="AB124" s="58" t="s">
        <v>1939</v>
      </c>
      <c r="AC124" s="55"/>
      <c r="AD124" s="55" t="s">
        <v>1940</v>
      </c>
      <c r="AE124" s="55" t="s">
        <v>1941</v>
      </c>
    </row>
    <row r="125">
      <c r="A125" s="103">
        <v>124.0</v>
      </c>
      <c r="B125" s="171" t="s">
        <v>646</v>
      </c>
      <c r="C125" s="26" t="s">
        <v>1942</v>
      </c>
      <c r="D125" s="29" t="s">
        <v>1943</v>
      </c>
      <c r="E125" s="37" t="str">
        <f t="shared" si="1"/>
        <v>จ.ส.ต. ประทิน สีสม</v>
      </c>
      <c r="F125" s="98" t="s">
        <v>659</v>
      </c>
      <c r="G125" s="26" t="s">
        <v>1944</v>
      </c>
      <c r="H125" s="29" t="s">
        <v>1945</v>
      </c>
      <c r="I125" s="39">
        <v>1.554900362E9</v>
      </c>
      <c r="J125" s="39">
        <v>1.709900641002E12</v>
      </c>
      <c r="K125" s="40" t="s">
        <v>1835</v>
      </c>
      <c r="L125" s="29" t="s">
        <v>1307</v>
      </c>
      <c r="M125" s="41" t="s">
        <v>1847</v>
      </c>
      <c r="N125" s="39" t="s">
        <v>85</v>
      </c>
      <c r="O125" s="39" t="s">
        <v>73</v>
      </c>
      <c r="P125" s="42">
        <v>8.06501708E8</v>
      </c>
      <c r="Q125" s="43"/>
      <c r="R125" s="45" t="s">
        <v>44</v>
      </c>
      <c r="S125" s="208"/>
      <c r="T125" s="66" t="s">
        <v>1946</v>
      </c>
      <c r="U125" s="53">
        <v>33454.0</v>
      </c>
      <c r="V125" s="31" t="s">
        <v>77</v>
      </c>
      <c r="W125" s="55">
        <f t="shared" si="2"/>
        <v>35</v>
      </c>
      <c r="X125" s="55" t="s">
        <v>98</v>
      </c>
      <c r="Y125" s="55" t="s">
        <v>428</v>
      </c>
      <c r="Z125" s="55" t="s">
        <v>1947</v>
      </c>
      <c r="AA125" s="114" t="s">
        <v>1948</v>
      </c>
      <c r="AB125" s="58" t="s">
        <v>1949</v>
      </c>
      <c r="AC125" s="55"/>
      <c r="AD125" s="55" t="s">
        <v>1950</v>
      </c>
      <c r="AE125" s="55" t="s">
        <v>1951</v>
      </c>
    </row>
    <row r="126">
      <c r="A126" s="103">
        <v>125.0</v>
      </c>
      <c r="B126" s="204" t="s">
        <v>106</v>
      </c>
      <c r="C126" s="26" t="s">
        <v>1952</v>
      </c>
      <c r="D126" s="29" t="s">
        <v>1953</v>
      </c>
      <c r="E126" s="37" t="str">
        <f t="shared" si="1"/>
        <v>จ.ส.อ. ฤกษ์ชัย มากอิ่ม</v>
      </c>
      <c r="F126" s="99" t="s">
        <v>111</v>
      </c>
      <c r="G126" s="26" t="s">
        <v>1954</v>
      </c>
      <c r="H126" s="29" t="s">
        <v>1955</v>
      </c>
      <c r="I126" s="39">
        <v>1.503000122E9</v>
      </c>
      <c r="J126" s="39">
        <v>1.709900053429E12</v>
      </c>
      <c r="K126" s="40" t="s">
        <v>1845</v>
      </c>
      <c r="L126" s="29" t="s">
        <v>564</v>
      </c>
      <c r="M126" s="41" t="s">
        <v>921</v>
      </c>
      <c r="N126" s="39" t="s">
        <v>72</v>
      </c>
      <c r="O126" s="39" t="s">
        <v>73</v>
      </c>
      <c r="P126" s="67">
        <v>8.58155415E8</v>
      </c>
      <c r="Q126" s="43"/>
      <c r="R126" s="45" t="s">
        <v>44</v>
      </c>
      <c r="S126" s="208"/>
      <c r="T126" s="66" t="s">
        <v>1956</v>
      </c>
      <c r="U126" s="53">
        <v>30910.0</v>
      </c>
      <c r="V126" s="31" t="s">
        <v>77</v>
      </c>
      <c r="W126" s="55">
        <f t="shared" si="2"/>
        <v>42</v>
      </c>
      <c r="X126" s="55" t="s">
        <v>98</v>
      </c>
      <c r="Y126" s="55" t="s">
        <v>428</v>
      </c>
      <c r="Z126" s="55" t="s">
        <v>1957</v>
      </c>
      <c r="AA126" s="58" t="s">
        <v>1958</v>
      </c>
      <c r="AB126" s="58" t="s">
        <v>1959</v>
      </c>
      <c r="AC126" s="55"/>
      <c r="AD126" s="55" t="s">
        <v>1960</v>
      </c>
      <c r="AE126" s="55" t="s">
        <v>1961</v>
      </c>
    </row>
    <row r="127">
      <c r="A127" s="103">
        <v>126.0</v>
      </c>
      <c r="B127" s="85" t="s">
        <v>106</v>
      </c>
      <c r="C127" s="83" t="s">
        <v>1962</v>
      </c>
      <c r="D127" s="86" t="s">
        <v>1963</v>
      </c>
      <c r="E127" s="37" t="str">
        <f t="shared" si="1"/>
        <v>จ.ส.อ. พิเชษฐ ชุ่มเชื้อ</v>
      </c>
      <c r="F127" s="82" t="s">
        <v>111</v>
      </c>
      <c r="G127" s="83" t="s">
        <v>1964</v>
      </c>
      <c r="H127" s="86" t="s">
        <v>1965</v>
      </c>
      <c r="I127" s="20">
        <v>1.434900176E9</v>
      </c>
      <c r="J127" s="20">
        <v>3.700800512772E12</v>
      </c>
      <c r="K127" s="40" t="s">
        <v>899</v>
      </c>
      <c r="L127" s="29" t="s">
        <v>1966</v>
      </c>
      <c r="M127" s="41" t="s">
        <v>1967</v>
      </c>
      <c r="N127" s="20" t="s">
        <v>72</v>
      </c>
      <c r="O127" s="39" t="s">
        <v>73</v>
      </c>
      <c r="P127" s="42">
        <v>9.45214889E8</v>
      </c>
      <c r="Q127" s="43"/>
      <c r="R127" s="45" t="s">
        <v>44</v>
      </c>
      <c r="S127" s="208"/>
      <c r="T127" s="66" t="s">
        <v>1968</v>
      </c>
      <c r="U127" s="53">
        <v>28871.0</v>
      </c>
      <c r="V127" s="31" t="s">
        <v>77</v>
      </c>
      <c r="W127" s="55">
        <f t="shared" si="2"/>
        <v>47</v>
      </c>
      <c r="X127" s="55" t="s">
        <v>98</v>
      </c>
      <c r="Y127" s="55" t="s">
        <v>428</v>
      </c>
      <c r="Z127" s="55" t="s">
        <v>1969</v>
      </c>
      <c r="AA127" s="58" t="s">
        <v>1970</v>
      </c>
      <c r="AB127" s="58" t="s">
        <v>1971</v>
      </c>
      <c r="AC127" s="55"/>
      <c r="AD127" s="55" t="s">
        <v>1972</v>
      </c>
      <c r="AE127" s="55" t="s">
        <v>1973</v>
      </c>
    </row>
    <row r="128">
      <c r="A128" s="103">
        <v>127.0</v>
      </c>
      <c r="B128" s="85" t="s">
        <v>106</v>
      </c>
      <c r="C128" s="83" t="s">
        <v>1974</v>
      </c>
      <c r="D128" s="86" t="s">
        <v>1975</v>
      </c>
      <c r="E128" s="37" t="str">
        <f t="shared" si="1"/>
        <v>จ.ส.อ. วรพจน์ จูประสงค์</v>
      </c>
      <c r="F128" s="82" t="s">
        <v>111</v>
      </c>
      <c r="G128" s="83" t="s">
        <v>1976</v>
      </c>
      <c r="H128" s="86" t="s">
        <v>1977</v>
      </c>
      <c r="I128" s="20">
        <v>1.504901153E9</v>
      </c>
      <c r="J128" s="20">
        <v>1.709700070478E12</v>
      </c>
      <c r="K128" s="40" t="s">
        <v>1876</v>
      </c>
      <c r="L128" s="29" t="s">
        <v>1978</v>
      </c>
      <c r="M128" s="41" t="s">
        <v>1536</v>
      </c>
      <c r="N128" s="20" t="s">
        <v>72</v>
      </c>
      <c r="O128" s="39" t="s">
        <v>73</v>
      </c>
      <c r="P128" s="42">
        <v>8.60745102E8</v>
      </c>
      <c r="Q128" s="43"/>
      <c r="R128" s="45" t="s">
        <v>44</v>
      </c>
      <c r="S128" s="208"/>
      <c r="T128" s="66" t="s">
        <v>1979</v>
      </c>
      <c r="U128" s="53">
        <v>32307.0</v>
      </c>
      <c r="V128" s="31" t="s">
        <v>77</v>
      </c>
      <c r="W128" s="55">
        <f t="shared" si="2"/>
        <v>38</v>
      </c>
      <c r="X128" s="55" t="s">
        <v>98</v>
      </c>
      <c r="Y128" s="55" t="s">
        <v>428</v>
      </c>
      <c r="Z128" s="55" t="s">
        <v>1980</v>
      </c>
      <c r="AA128" s="114" t="s">
        <v>1981</v>
      </c>
      <c r="AB128" s="58" t="s">
        <v>1982</v>
      </c>
      <c r="AC128" s="55"/>
      <c r="AD128" s="55" t="s">
        <v>1983</v>
      </c>
      <c r="AE128" s="55" t="s">
        <v>1984</v>
      </c>
    </row>
    <row r="129">
      <c r="A129" s="103">
        <v>128.0</v>
      </c>
      <c r="B129" s="85" t="s">
        <v>398</v>
      </c>
      <c r="C129" s="83" t="s">
        <v>1985</v>
      </c>
      <c r="D129" s="86" t="s">
        <v>1986</v>
      </c>
      <c r="E129" s="37" t="str">
        <f t="shared" si="1"/>
        <v>จ.ส.ท. ภาณุพงศ์ กิ่งวิชิต</v>
      </c>
      <c r="F129" s="99" t="s">
        <v>659</v>
      </c>
      <c r="G129" s="83" t="s">
        <v>1987</v>
      </c>
      <c r="H129" s="86" t="s">
        <v>1988</v>
      </c>
      <c r="I129" s="20">
        <v>1.581100382E9</v>
      </c>
      <c r="J129" s="20">
        <v>1.869900306164E12</v>
      </c>
      <c r="K129" s="40" t="s">
        <v>1777</v>
      </c>
      <c r="L129" s="29" t="s">
        <v>1989</v>
      </c>
      <c r="M129" s="41" t="s">
        <v>1183</v>
      </c>
      <c r="N129" s="20" t="s">
        <v>85</v>
      </c>
      <c r="O129" s="39" t="s">
        <v>73</v>
      </c>
      <c r="P129" s="42">
        <v>8.87521968E8</v>
      </c>
      <c r="Q129" s="43"/>
      <c r="R129" s="45" t="s">
        <v>44</v>
      </c>
      <c r="S129" s="208"/>
      <c r="T129" s="66" t="s">
        <v>1990</v>
      </c>
      <c r="U129" s="53">
        <v>35453.0</v>
      </c>
      <c r="V129" s="31" t="s">
        <v>77</v>
      </c>
      <c r="W129" s="55">
        <f t="shared" si="2"/>
        <v>29</v>
      </c>
      <c r="X129" s="55" t="s">
        <v>98</v>
      </c>
      <c r="Y129" s="55" t="s">
        <v>428</v>
      </c>
      <c r="Z129" s="55" t="s">
        <v>1991</v>
      </c>
      <c r="AA129" s="58" t="s">
        <v>1992</v>
      </c>
      <c r="AB129" s="58" t="s">
        <v>1993</v>
      </c>
      <c r="AC129" s="55"/>
      <c r="AD129" s="55" t="s">
        <v>1994</v>
      </c>
      <c r="AE129" s="55" t="s">
        <v>1995</v>
      </c>
    </row>
    <row r="130">
      <c r="A130" s="103">
        <v>129.0</v>
      </c>
      <c r="B130" s="85" t="s">
        <v>106</v>
      </c>
      <c r="C130" s="83" t="s">
        <v>1996</v>
      </c>
      <c r="D130" s="86" t="s">
        <v>1997</v>
      </c>
      <c r="E130" s="37" t="str">
        <f t="shared" si="1"/>
        <v>จ.ส.อ. ปิยวัฒน์ หมู่เมี่ยง</v>
      </c>
      <c r="F130" s="82" t="s">
        <v>111</v>
      </c>
      <c r="G130" s="83" t="s">
        <v>1998</v>
      </c>
      <c r="H130" s="86" t="s">
        <v>1999</v>
      </c>
      <c r="I130" s="20">
        <v>1.524901383E9</v>
      </c>
      <c r="J130" s="20">
        <v>1.709900365587E12</v>
      </c>
      <c r="K130" s="40" t="s">
        <v>1788</v>
      </c>
      <c r="L130" s="29" t="s">
        <v>2000</v>
      </c>
      <c r="M130" s="41" t="s">
        <v>2001</v>
      </c>
      <c r="N130" s="20" t="s">
        <v>188</v>
      </c>
      <c r="O130" s="39" t="s">
        <v>73</v>
      </c>
      <c r="P130" s="42" t="s">
        <v>2002</v>
      </c>
      <c r="Q130" s="43"/>
      <c r="R130" s="45" t="s">
        <v>44</v>
      </c>
      <c r="S130" s="208"/>
      <c r="T130" s="66" t="s">
        <v>2003</v>
      </c>
      <c r="U130" s="53">
        <v>32258.0</v>
      </c>
      <c r="V130" s="31" t="s">
        <v>77</v>
      </c>
      <c r="W130" s="55">
        <f t="shared" si="2"/>
        <v>38</v>
      </c>
      <c r="X130" s="55" t="s">
        <v>98</v>
      </c>
      <c r="Y130" s="55" t="s">
        <v>428</v>
      </c>
      <c r="Z130" s="55" t="s">
        <v>2004</v>
      </c>
      <c r="AA130" s="58" t="s">
        <v>2005</v>
      </c>
      <c r="AB130" s="58" t="s">
        <v>2006</v>
      </c>
      <c r="AC130" s="55"/>
      <c r="AD130" s="55" t="s">
        <v>2007</v>
      </c>
      <c r="AE130" s="55" t="s">
        <v>2008</v>
      </c>
    </row>
    <row r="131">
      <c r="A131" s="103">
        <v>130.0</v>
      </c>
      <c r="B131" s="85" t="s">
        <v>349</v>
      </c>
      <c r="C131" s="83" t="s">
        <v>1469</v>
      </c>
      <c r="D131" s="86" t="s">
        <v>2009</v>
      </c>
      <c r="E131" s="37" t="str">
        <f t="shared" si="1"/>
        <v>ส.อ. อานนท์ เทียนศิริ</v>
      </c>
      <c r="F131" s="82" t="s">
        <v>353</v>
      </c>
      <c r="G131" s="83" t="s">
        <v>1471</v>
      </c>
      <c r="H131" s="86" t="s">
        <v>2010</v>
      </c>
      <c r="I131" s="20">
        <v>1.594900691E9</v>
      </c>
      <c r="J131" s="20">
        <v>1.709900741821E12</v>
      </c>
      <c r="K131" s="40" t="s">
        <v>1812</v>
      </c>
      <c r="L131" s="29" t="s">
        <v>2011</v>
      </c>
      <c r="M131" s="41" t="s">
        <v>563</v>
      </c>
      <c r="N131" s="20" t="s">
        <v>85</v>
      </c>
      <c r="O131" s="39" t="s">
        <v>73</v>
      </c>
      <c r="P131" s="42">
        <v>9.24941585E8</v>
      </c>
      <c r="Q131" s="43"/>
      <c r="R131" s="45" t="s">
        <v>44</v>
      </c>
      <c r="S131" s="208"/>
      <c r="T131" s="66" t="s">
        <v>2012</v>
      </c>
      <c r="U131" s="53">
        <v>33855.0</v>
      </c>
      <c r="V131" s="31" t="s">
        <v>77</v>
      </c>
      <c r="W131" s="55">
        <f t="shared" si="2"/>
        <v>34</v>
      </c>
      <c r="X131" s="55" t="s">
        <v>98</v>
      </c>
      <c r="Y131" s="55" t="s">
        <v>428</v>
      </c>
      <c r="Z131" s="55" t="s">
        <v>2013</v>
      </c>
      <c r="AA131" s="58" t="s">
        <v>2014</v>
      </c>
      <c r="AB131" s="58" t="s">
        <v>2015</v>
      </c>
      <c r="AC131" s="55"/>
      <c r="AD131" s="55" t="s">
        <v>2016</v>
      </c>
      <c r="AE131" s="55" t="s">
        <v>2017</v>
      </c>
    </row>
    <row r="132">
      <c r="A132" s="103">
        <v>131.0</v>
      </c>
      <c r="B132" s="85" t="s">
        <v>349</v>
      </c>
      <c r="C132" s="83" t="s">
        <v>2018</v>
      </c>
      <c r="D132" s="86" t="s">
        <v>2019</v>
      </c>
      <c r="E132" s="37" t="str">
        <f t="shared" si="1"/>
        <v>ส.อ. ผดุงเกียรติ ชูช่วย</v>
      </c>
      <c r="F132" s="82" t="s">
        <v>353</v>
      </c>
      <c r="G132" s="83" t="s">
        <v>2020</v>
      </c>
      <c r="H132" s="86" t="s">
        <v>2021</v>
      </c>
      <c r="I132" s="20">
        <v>1.574900098E9</v>
      </c>
      <c r="J132" s="20">
        <v>1.709900774673E12</v>
      </c>
      <c r="K132" s="40" t="s">
        <v>1812</v>
      </c>
      <c r="L132" s="29" t="s">
        <v>1978</v>
      </c>
      <c r="M132" s="41" t="s">
        <v>1569</v>
      </c>
      <c r="N132" s="20" t="s">
        <v>72</v>
      </c>
      <c r="O132" s="39" t="s">
        <v>73</v>
      </c>
      <c r="P132" s="42">
        <v>8.40066382E8</v>
      </c>
      <c r="Q132" s="43"/>
      <c r="R132" s="45" t="s">
        <v>44</v>
      </c>
      <c r="S132" s="208"/>
      <c r="T132" s="66" t="s">
        <v>2022</v>
      </c>
      <c r="U132" s="53">
        <v>33990.0</v>
      </c>
      <c r="V132" s="31" t="s">
        <v>77</v>
      </c>
      <c r="W132" s="55">
        <f t="shared" si="2"/>
        <v>33</v>
      </c>
      <c r="X132" s="55" t="s">
        <v>98</v>
      </c>
      <c r="Y132" s="55" t="s">
        <v>428</v>
      </c>
      <c r="Z132" s="55" t="s">
        <v>2023</v>
      </c>
      <c r="AA132" s="58" t="s">
        <v>2024</v>
      </c>
      <c r="AB132" s="58" t="s">
        <v>2025</v>
      </c>
      <c r="AC132" s="55"/>
      <c r="AD132" s="55" t="s">
        <v>2026</v>
      </c>
      <c r="AE132" s="55" t="s">
        <v>2027</v>
      </c>
    </row>
    <row r="133">
      <c r="A133" s="103">
        <v>132.0</v>
      </c>
      <c r="B133" s="85" t="s">
        <v>349</v>
      </c>
      <c r="C133" s="83" t="s">
        <v>2028</v>
      </c>
      <c r="D133" s="86" t="s">
        <v>2029</v>
      </c>
      <c r="E133" s="37" t="str">
        <f t="shared" si="1"/>
        <v>ส.อ. สันติสุข กิจนพศรี</v>
      </c>
      <c r="F133" s="82" t="s">
        <v>353</v>
      </c>
      <c r="G133" s="83" t="s">
        <v>2030</v>
      </c>
      <c r="H133" s="86" t="s">
        <v>2031</v>
      </c>
      <c r="I133" s="20">
        <v>1.583300604E9</v>
      </c>
      <c r="J133" s="20">
        <v>1.101500589109E12</v>
      </c>
      <c r="K133" s="40" t="s">
        <v>1825</v>
      </c>
      <c r="L133" s="29" t="s">
        <v>2032</v>
      </c>
      <c r="M133" s="41" t="s">
        <v>747</v>
      </c>
      <c r="N133" s="20" t="s">
        <v>155</v>
      </c>
      <c r="O133" s="39" t="s">
        <v>73</v>
      </c>
      <c r="P133" s="42">
        <v>8.77659148E8</v>
      </c>
      <c r="Q133" s="43"/>
      <c r="R133" s="45" t="s">
        <v>44</v>
      </c>
      <c r="S133" s="208"/>
      <c r="T133" s="66" t="s">
        <v>2033</v>
      </c>
      <c r="U133" s="53">
        <v>33733.0</v>
      </c>
      <c r="V133" s="31" t="s">
        <v>77</v>
      </c>
      <c r="W133" s="55">
        <f t="shared" si="2"/>
        <v>34</v>
      </c>
      <c r="X133" s="55" t="s">
        <v>98</v>
      </c>
      <c r="Y133" s="55" t="s">
        <v>428</v>
      </c>
      <c r="Z133" s="55" t="s">
        <v>2034</v>
      </c>
      <c r="AA133" s="58" t="s">
        <v>2035</v>
      </c>
      <c r="AB133" s="58" t="s">
        <v>2036</v>
      </c>
      <c r="AC133" s="55"/>
      <c r="AD133" s="55" t="s">
        <v>2037</v>
      </c>
      <c r="AE133" s="55" t="s">
        <v>2038</v>
      </c>
    </row>
    <row r="134">
      <c r="A134" s="103">
        <v>133.0</v>
      </c>
      <c r="B134" s="171" t="s">
        <v>349</v>
      </c>
      <c r="C134" s="26" t="s">
        <v>2039</v>
      </c>
      <c r="D134" s="29" t="s">
        <v>2040</v>
      </c>
      <c r="E134" s="37" t="str">
        <f t="shared" si="1"/>
        <v>ส.อ. ชนินทร์ พุ่มแก้ว</v>
      </c>
      <c r="F134" s="98" t="s">
        <v>353</v>
      </c>
      <c r="G134" s="26" t="s">
        <v>2041</v>
      </c>
      <c r="H134" s="29" t="s">
        <v>2042</v>
      </c>
      <c r="I134" s="39">
        <v>1.624900117E9</v>
      </c>
      <c r="J134" s="39">
        <v>1.709901021423E12</v>
      </c>
      <c r="K134" s="40" t="s">
        <v>1825</v>
      </c>
      <c r="L134" s="29" t="s">
        <v>2043</v>
      </c>
      <c r="M134" s="41" t="s">
        <v>1901</v>
      </c>
      <c r="N134" s="39" t="s">
        <v>85</v>
      </c>
      <c r="O134" s="39" t="s">
        <v>73</v>
      </c>
      <c r="P134" s="42">
        <v>9.62953862E8</v>
      </c>
      <c r="Q134" s="43"/>
      <c r="R134" s="45" t="s">
        <v>44</v>
      </c>
      <c r="S134" s="208"/>
      <c r="T134" s="66" t="s">
        <v>2044</v>
      </c>
      <c r="U134" s="53">
        <v>35059.0</v>
      </c>
      <c r="V134" s="31" t="s">
        <v>77</v>
      </c>
      <c r="W134" s="55">
        <f t="shared" si="2"/>
        <v>30</v>
      </c>
      <c r="X134" s="55" t="s">
        <v>98</v>
      </c>
      <c r="Y134" s="55" t="s">
        <v>428</v>
      </c>
      <c r="Z134" s="55" t="s">
        <v>1991</v>
      </c>
      <c r="AA134" s="58" t="s">
        <v>2045</v>
      </c>
      <c r="AB134" s="58" t="s">
        <v>2046</v>
      </c>
      <c r="AC134" s="55"/>
      <c r="AD134" s="55" t="s">
        <v>2047</v>
      </c>
      <c r="AE134" s="55" t="s">
        <v>2048</v>
      </c>
    </row>
    <row r="135" ht="25.5" customHeight="1">
      <c r="A135" s="103">
        <v>134.0</v>
      </c>
      <c r="B135" s="204" t="s">
        <v>349</v>
      </c>
      <c r="C135" s="83" t="s">
        <v>1458</v>
      </c>
      <c r="D135" s="86" t="s">
        <v>2049</v>
      </c>
      <c r="E135" s="37" t="str">
        <f t="shared" si="1"/>
        <v>ส.อ. อำนาจ อบแค</v>
      </c>
      <c r="F135" s="82" t="s">
        <v>353</v>
      </c>
      <c r="G135" s="83" t="s">
        <v>2050</v>
      </c>
      <c r="H135" s="86" t="s">
        <v>2051</v>
      </c>
      <c r="I135" s="20">
        <v>1.570200674E9</v>
      </c>
      <c r="J135" s="20">
        <v>1.710600143831E12</v>
      </c>
      <c r="K135" s="40" t="s">
        <v>1835</v>
      </c>
      <c r="L135" s="29" t="s">
        <v>1978</v>
      </c>
      <c r="M135" s="41" t="s">
        <v>1936</v>
      </c>
      <c r="N135" s="20" t="s">
        <v>72</v>
      </c>
      <c r="O135" s="39" t="s">
        <v>73</v>
      </c>
      <c r="P135" s="42">
        <v>8.45705493E8</v>
      </c>
      <c r="Q135" s="43"/>
      <c r="R135" s="45" t="s">
        <v>44</v>
      </c>
      <c r="S135" s="208"/>
      <c r="T135" s="66" t="s">
        <v>2052</v>
      </c>
      <c r="U135" s="57">
        <v>34051.0</v>
      </c>
      <c r="V135" s="31" t="s">
        <v>77</v>
      </c>
      <c r="W135" s="55">
        <f t="shared" si="2"/>
        <v>33</v>
      </c>
      <c r="X135" s="55" t="s">
        <v>98</v>
      </c>
      <c r="Y135" s="55" t="s">
        <v>428</v>
      </c>
      <c r="Z135" s="55" t="s">
        <v>2053</v>
      </c>
      <c r="AA135" s="114" t="s">
        <v>2054</v>
      </c>
      <c r="AB135" s="58" t="s">
        <v>2055</v>
      </c>
      <c r="AC135" s="55"/>
      <c r="AD135" s="55" t="s">
        <v>2056</v>
      </c>
      <c r="AE135" s="55" t="s">
        <v>2057</v>
      </c>
    </row>
    <row r="136">
      <c r="A136" s="103">
        <v>135.0</v>
      </c>
      <c r="B136" s="85" t="s">
        <v>349</v>
      </c>
      <c r="C136" s="83" t="s">
        <v>2058</v>
      </c>
      <c r="D136" s="86" t="s">
        <v>2059</v>
      </c>
      <c r="E136" s="37" t="str">
        <f t="shared" si="1"/>
        <v>ส.อ. สมาน เจียมจันทร์</v>
      </c>
      <c r="F136" s="82" t="s">
        <v>353</v>
      </c>
      <c r="G136" s="83" t="s">
        <v>2060</v>
      </c>
      <c r="H136" s="86" t="s">
        <v>2061</v>
      </c>
      <c r="I136" s="20">
        <v>1.566400602E9</v>
      </c>
      <c r="J136" s="20">
        <v>1.720400118442E12</v>
      </c>
      <c r="K136" s="40" t="s">
        <v>1845</v>
      </c>
      <c r="L136" s="29" t="s">
        <v>2032</v>
      </c>
      <c r="M136" s="41" t="s">
        <v>1234</v>
      </c>
      <c r="N136" s="20" t="s">
        <v>72</v>
      </c>
      <c r="O136" s="39" t="s">
        <v>73</v>
      </c>
      <c r="P136" s="42">
        <v>9.60873331E8</v>
      </c>
      <c r="Q136" s="43"/>
      <c r="R136" s="45" t="s">
        <v>44</v>
      </c>
      <c r="S136" s="208"/>
      <c r="T136" s="66" t="s">
        <v>2062</v>
      </c>
      <c r="U136" s="53">
        <v>33373.0</v>
      </c>
      <c r="V136" s="31" t="s">
        <v>77</v>
      </c>
      <c r="W136" s="55">
        <f t="shared" si="2"/>
        <v>35</v>
      </c>
      <c r="X136" s="55" t="s">
        <v>98</v>
      </c>
      <c r="Y136" s="55" t="s">
        <v>428</v>
      </c>
      <c r="Z136" s="55" t="s">
        <v>1475</v>
      </c>
      <c r="AA136" s="114" t="s">
        <v>2063</v>
      </c>
      <c r="AB136" s="58" t="s">
        <v>2064</v>
      </c>
      <c r="AC136" s="55"/>
      <c r="AD136" s="55" t="s">
        <v>2065</v>
      </c>
      <c r="AE136" s="55" t="s">
        <v>2066</v>
      </c>
    </row>
    <row r="137">
      <c r="A137" s="103">
        <v>136.0</v>
      </c>
      <c r="B137" s="85" t="s">
        <v>88</v>
      </c>
      <c r="C137" s="83" t="s">
        <v>495</v>
      </c>
      <c r="D137" s="86" t="s">
        <v>497</v>
      </c>
      <c r="E137" s="37" t="str">
        <f t="shared" si="1"/>
        <v>พ.ต. เจษฎา ทิมฤกษ์</v>
      </c>
      <c r="F137" s="82" t="s">
        <v>91</v>
      </c>
      <c r="G137" s="83" t="s">
        <v>501</v>
      </c>
      <c r="H137" s="86" t="s">
        <v>502</v>
      </c>
      <c r="I137" s="20">
        <v>1.374900526E9</v>
      </c>
      <c r="J137" s="20">
        <v>3.700100789372E12</v>
      </c>
      <c r="K137" s="119" t="s">
        <v>392</v>
      </c>
      <c r="L137" s="29" t="s">
        <v>504</v>
      </c>
      <c r="M137" s="41" t="s">
        <v>2067</v>
      </c>
      <c r="N137" s="20" t="s">
        <v>72</v>
      </c>
      <c r="O137" s="39" t="s">
        <v>73</v>
      </c>
      <c r="P137" s="42">
        <v>8.71611198E8</v>
      </c>
      <c r="Q137" s="43"/>
      <c r="R137" s="45" t="s">
        <v>48</v>
      </c>
      <c r="S137" s="45" t="s">
        <v>48</v>
      </c>
      <c r="T137" s="66" t="s">
        <v>2068</v>
      </c>
      <c r="U137" s="53">
        <v>27746.0</v>
      </c>
      <c r="V137" s="31" t="s">
        <v>77</v>
      </c>
      <c r="W137" s="55">
        <f t="shared" si="2"/>
        <v>50</v>
      </c>
      <c r="X137" s="55" t="s">
        <v>98</v>
      </c>
      <c r="Y137" s="55" t="s">
        <v>99</v>
      </c>
      <c r="Z137" s="55" t="s">
        <v>2069</v>
      </c>
      <c r="AA137" s="58" t="s">
        <v>2070</v>
      </c>
      <c r="AB137" s="58" t="s">
        <v>2071</v>
      </c>
      <c r="AC137" s="55"/>
      <c r="AD137" s="55" t="s">
        <v>2072</v>
      </c>
      <c r="AE137" s="55" t="s">
        <v>2073</v>
      </c>
    </row>
    <row r="138">
      <c r="A138" s="103">
        <v>137.0</v>
      </c>
      <c r="B138" s="204" t="s">
        <v>109</v>
      </c>
      <c r="C138" s="83" t="s">
        <v>533</v>
      </c>
      <c r="D138" s="86" t="s">
        <v>534</v>
      </c>
      <c r="E138" s="37" t="str">
        <f t="shared" si="1"/>
        <v>ร.อ. สุทธิพงษ์ ทิพธามา</v>
      </c>
      <c r="F138" s="98" t="s">
        <v>115</v>
      </c>
      <c r="G138" s="83" t="s">
        <v>539</v>
      </c>
      <c r="H138" s="86" t="s">
        <v>541</v>
      </c>
      <c r="I138" s="20">
        <v>1.564900809E9</v>
      </c>
      <c r="J138" s="20">
        <v>1.709900885955E12</v>
      </c>
      <c r="K138" s="119" t="s">
        <v>542</v>
      </c>
      <c r="L138" s="29" t="s">
        <v>153</v>
      </c>
      <c r="M138" s="41" t="s">
        <v>1685</v>
      </c>
      <c r="N138" s="20" t="s">
        <v>155</v>
      </c>
      <c r="O138" s="39" t="s">
        <v>73</v>
      </c>
      <c r="P138" s="42">
        <v>9.54726699E8</v>
      </c>
      <c r="Q138" s="43"/>
      <c r="R138" s="45" t="s">
        <v>48</v>
      </c>
      <c r="S138" s="45" t="s">
        <v>48</v>
      </c>
      <c r="T138" s="66" t="s">
        <v>2074</v>
      </c>
      <c r="U138" s="57">
        <v>34479.0</v>
      </c>
      <c r="V138" s="31" t="s">
        <v>77</v>
      </c>
      <c r="W138" s="55">
        <f t="shared" si="2"/>
        <v>32</v>
      </c>
      <c r="X138" s="55" t="s">
        <v>98</v>
      </c>
      <c r="Y138" s="55" t="s">
        <v>99</v>
      </c>
      <c r="Z138" s="58" t="s">
        <v>2075</v>
      </c>
      <c r="AA138" s="114" t="s">
        <v>2076</v>
      </c>
      <c r="AB138" s="58" t="s">
        <v>2077</v>
      </c>
      <c r="AC138" s="55"/>
      <c r="AD138" s="55" t="s">
        <v>2078</v>
      </c>
      <c r="AE138" s="55" t="s">
        <v>2079</v>
      </c>
    </row>
    <row r="139">
      <c r="A139" s="103">
        <v>138.0</v>
      </c>
      <c r="B139" s="74" t="s">
        <v>600</v>
      </c>
      <c r="C139" s="35" t="s">
        <v>2080</v>
      </c>
      <c r="D139" s="36" t="s">
        <v>2081</v>
      </c>
      <c r="E139" s="102" t="str">
        <f t="shared" si="1"/>
        <v>ส.ท.หญิง ปาลิกา เจริญสุข</v>
      </c>
      <c r="F139" s="63" t="s">
        <v>603</v>
      </c>
      <c r="G139" s="35" t="s">
        <v>2082</v>
      </c>
      <c r="H139" s="36" t="s">
        <v>2083</v>
      </c>
      <c r="I139" s="48">
        <v>6.641010001E9</v>
      </c>
      <c r="J139" s="48">
        <v>1.102001584072E12</v>
      </c>
      <c r="K139" s="130" t="s">
        <v>2084</v>
      </c>
      <c r="L139" s="36" t="s">
        <v>470</v>
      </c>
      <c r="M139" s="41" t="s">
        <v>2085</v>
      </c>
      <c r="N139" s="48" t="s">
        <v>85</v>
      </c>
      <c r="O139" s="39" t="s">
        <v>73</v>
      </c>
      <c r="P139" s="42">
        <v>6.13018365E8</v>
      </c>
      <c r="Q139" s="43"/>
      <c r="R139" s="45" t="s">
        <v>48</v>
      </c>
      <c r="S139" s="45" t="s">
        <v>48</v>
      </c>
      <c r="T139" s="66" t="s">
        <v>2086</v>
      </c>
      <c r="U139" s="53">
        <v>33471.0</v>
      </c>
      <c r="V139" s="31" t="s">
        <v>77</v>
      </c>
      <c r="W139" s="55">
        <f t="shared" si="2"/>
        <v>35</v>
      </c>
      <c r="X139" s="55" t="s">
        <v>229</v>
      </c>
      <c r="Y139" s="55" t="s">
        <v>428</v>
      </c>
      <c r="Z139" s="58" t="s">
        <v>2087</v>
      </c>
      <c r="AA139" s="114" t="s">
        <v>2088</v>
      </c>
      <c r="AB139" s="58" t="s">
        <v>2089</v>
      </c>
      <c r="AC139" s="55"/>
      <c r="AD139" s="55" t="s">
        <v>2090</v>
      </c>
      <c r="AE139" s="55" t="s">
        <v>2091</v>
      </c>
    </row>
    <row r="140" ht="25.5" customHeight="1">
      <c r="A140" s="103">
        <v>139.0</v>
      </c>
      <c r="B140" s="204" t="s">
        <v>646</v>
      </c>
      <c r="C140" s="83" t="s">
        <v>2092</v>
      </c>
      <c r="D140" s="86" t="s">
        <v>2093</v>
      </c>
      <c r="E140" s="37" t="str">
        <f t="shared" si="1"/>
        <v>จ.ส.ต. นนทวัฒน์ อรุณมณี</v>
      </c>
      <c r="F140" s="99" t="s">
        <v>659</v>
      </c>
      <c r="G140" s="83" t="s">
        <v>2094</v>
      </c>
      <c r="H140" s="86" t="s">
        <v>2095</v>
      </c>
      <c r="I140" s="20">
        <v>1.584900032E9</v>
      </c>
      <c r="J140" s="20">
        <v>1.709900881631E12</v>
      </c>
      <c r="K140" s="119" t="s">
        <v>1730</v>
      </c>
      <c r="L140" s="29" t="s">
        <v>2096</v>
      </c>
      <c r="M140" s="41" t="s">
        <v>2097</v>
      </c>
      <c r="N140" s="20" t="s">
        <v>85</v>
      </c>
      <c r="O140" s="39" t="s">
        <v>73</v>
      </c>
      <c r="P140" s="42">
        <v>9.92127422E8</v>
      </c>
      <c r="Q140" s="43"/>
      <c r="R140" s="45" t="s">
        <v>48</v>
      </c>
      <c r="S140" s="45" t="s">
        <v>48</v>
      </c>
      <c r="T140" s="66" t="s">
        <v>2098</v>
      </c>
      <c r="U140" s="53">
        <v>34452.0</v>
      </c>
      <c r="V140" s="157" t="s">
        <v>191</v>
      </c>
      <c r="W140" s="55">
        <f t="shared" si="2"/>
        <v>32</v>
      </c>
      <c r="X140" s="55" t="s">
        <v>98</v>
      </c>
      <c r="Y140" s="55" t="s">
        <v>428</v>
      </c>
      <c r="Z140" s="55" t="s">
        <v>2099</v>
      </c>
      <c r="AA140" s="58" t="s">
        <v>2100</v>
      </c>
      <c r="AB140" s="58" t="s">
        <v>2101</v>
      </c>
      <c r="AC140" s="55"/>
      <c r="AD140" s="55" t="s">
        <v>2102</v>
      </c>
      <c r="AE140" s="55" t="s">
        <v>2103</v>
      </c>
    </row>
    <row r="141">
      <c r="A141" s="103">
        <v>140.0</v>
      </c>
      <c r="B141" s="85" t="s">
        <v>106</v>
      </c>
      <c r="C141" s="83" t="s">
        <v>2104</v>
      </c>
      <c r="D141" s="86" t="s">
        <v>2105</v>
      </c>
      <c r="E141" s="37" t="str">
        <f t="shared" si="1"/>
        <v>จ.ส.อ. ธีรภัทร ใจดี</v>
      </c>
      <c r="F141" s="82" t="s">
        <v>111</v>
      </c>
      <c r="G141" s="83" t="s">
        <v>2106</v>
      </c>
      <c r="H141" s="86" t="s">
        <v>2107</v>
      </c>
      <c r="I141" s="20">
        <v>1.554900472E9</v>
      </c>
      <c r="J141" s="20">
        <v>1.709700140964E12</v>
      </c>
      <c r="K141" s="122" t="s">
        <v>2108</v>
      </c>
      <c r="L141" s="29" t="s">
        <v>2109</v>
      </c>
      <c r="M141" s="41" t="s">
        <v>2110</v>
      </c>
      <c r="N141" s="20" t="s">
        <v>72</v>
      </c>
      <c r="O141" s="39" t="s">
        <v>73</v>
      </c>
      <c r="P141" s="42">
        <v>9.29457983E8</v>
      </c>
      <c r="Q141" s="43"/>
      <c r="R141" s="45" t="s">
        <v>49</v>
      </c>
      <c r="S141" s="45" t="s">
        <v>48</v>
      </c>
      <c r="T141" s="66" t="s">
        <v>2111</v>
      </c>
      <c r="U141" s="53">
        <v>34471.0</v>
      </c>
      <c r="V141" s="31" t="s">
        <v>77</v>
      </c>
      <c r="W141" s="55">
        <f t="shared" si="2"/>
        <v>32</v>
      </c>
      <c r="X141" s="55" t="s">
        <v>98</v>
      </c>
      <c r="Y141" s="55" t="s">
        <v>428</v>
      </c>
      <c r="Z141" s="55" t="s">
        <v>2112</v>
      </c>
      <c r="AA141" s="58" t="s">
        <v>2113</v>
      </c>
      <c r="AB141" s="58" t="s">
        <v>2114</v>
      </c>
      <c r="AC141" s="55"/>
      <c r="AD141" s="55" t="s">
        <v>2115</v>
      </c>
      <c r="AE141" s="55" t="s">
        <v>2116</v>
      </c>
    </row>
    <row r="142">
      <c r="A142" s="103">
        <v>141.0</v>
      </c>
      <c r="B142" s="204" t="s">
        <v>106</v>
      </c>
      <c r="C142" s="83" t="s">
        <v>1401</v>
      </c>
      <c r="D142" s="120" t="s">
        <v>2117</v>
      </c>
      <c r="E142" s="37" t="str">
        <f t="shared" si="1"/>
        <v>จ.ส.อ. ธนวัฒน์ พุทธชาติ</v>
      </c>
      <c r="F142" s="99" t="s">
        <v>111</v>
      </c>
      <c r="G142" s="83" t="s">
        <v>2118</v>
      </c>
      <c r="H142" s="86" t="s">
        <v>2119</v>
      </c>
      <c r="I142" s="20">
        <v>1.514900934E9</v>
      </c>
      <c r="J142" s="20">
        <v>1.709900471085E12</v>
      </c>
      <c r="K142" s="119" t="s">
        <v>2120</v>
      </c>
      <c r="L142" s="29" t="s">
        <v>2121</v>
      </c>
      <c r="M142" s="41" t="s">
        <v>2001</v>
      </c>
      <c r="N142" s="20" t="s">
        <v>72</v>
      </c>
      <c r="O142" s="39" t="s">
        <v>73</v>
      </c>
      <c r="P142" s="42">
        <v>9.17799248E8</v>
      </c>
      <c r="Q142" s="43"/>
      <c r="R142" s="45" t="s">
        <v>49</v>
      </c>
      <c r="S142" s="45" t="s">
        <v>48</v>
      </c>
      <c r="T142" s="66" t="s">
        <v>2122</v>
      </c>
      <c r="U142" s="53">
        <v>32735.0</v>
      </c>
      <c r="V142" s="31" t="s">
        <v>77</v>
      </c>
      <c r="W142" s="55">
        <f t="shared" si="2"/>
        <v>37</v>
      </c>
      <c r="X142" s="55" t="s">
        <v>98</v>
      </c>
      <c r="Y142" s="55" t="s">
        <v>428</v>
      </c>
      <c r="Z142" s="55" t="s">
        <v>1289</v>
      </c>
      <c r="AA142" s="170" t="s">
        <v>2123</v>
      </c>
      <c r="AB142" s="58" t="s">
        <v>2124</v>
      </c>
      <c r="AC142" s="55"/>
      <c r="AD142" s="55" t="s">
        <v>2125</v>
      </c>
      <c r="AE142" s="55" t="s">
        <v>2126</v>
      </c>
    </row>
    <row r="143">
      <c r="A143" s="103">
        <v>142.0</v>
      </c>
      <c r="B143" s="85" t="s">
        <v>349</v>
      </c>
      <c r="C143" s="83" t="s">
        <v>2127</v>
      </c>
      <c r="D143" s="86" t="s">
        <v>2128</v>
      </c>
      <c r="E143" s="37" t="str">
        <f t="shared" si="1"/>
        <v>ส.อ. ไนยชน สุขศาสตร์</v>
      </c>
      <c r="F143" s="82" t="s">
        <v>353</v>
      </c>
      <c r="G143" s="83" t="s">
        <v>2129</v>
      </c>
      <c r="H143" s="86" t="s">
        <v>2130</v>
      </c>
      <c r="I143" s="20">
        <v>1.594900594E9</v>
      </c>
      <c r="J143" s="20">
        <v>1.749900611456E12</v>
      </c>
      <c r="K143" s="130" t="s">
        <v>2131</v>
      </c>
      <c r="L143" s="29" t="s">
        <v>2132</v>
      </c>
      <c r="M143" s="41" t="s">
        <v>747</v>
      </c>
      <c r="N143" s="20" t="s">
        <v>85</v>
      </c>
      <c r="O143" s="39" t="s">
        <v>73</v>
      </c>
      <c r="P143" s="42">
        <v>9.55598352E8</v>
      </c>
      <c r="Q143" s="43"/>
      <c r="R143" s="45" t="s">
        <v>49</v>
      </c>
      <c r="S143" s="45" t="s">
        <v>48</v>
      </c>
      <c r="T143" s="66" t="s">
        <v>2133</v>
      </c>
      <c r="U143" s="53">
        <v>35936.0</v>
      </c>
      <c r="V143" s="31" t="s">
        <v>77</v>
      </c>
      <c r="W143" s="55">
        <f t="shared" si="2"/>
        <v>28</v>
      </c>
      <c r="X143" s="55" t="s">
        <v>98</v>
      </c>
      <c r="Y143" s="55" t="s">
        <v>428</v>
      </c>
      <c r="Z143" s="55" t="s">
        <v>2134</v>
      </c>
      <c r="AA143" s="58" t="s">
        <v>2135</v>
      </c>
      <c r="AB143" s="58" t="s">
        <v>2136</v>
      </c>
      <c r="AC143" s="55"/>
      <c r="AD143" s="55" t="s">
        <v>2137</v>
      </c>
      <c r="AE143" s="55" t="s">
        <v>2138</v>
      </c>
    </row>
    <row r="144">
      <c r="A144" s="103">
        <v>143.0</v>
      </c>
      <c r="B144" s="85" t="s">
        <v>349</v>
      </c>
      <c r="C144" s="83" t="s">
        <v>2139</v>
      </c>
      <c r="D144" s="86" t="s">
        <v>2140</v>
      </c>
      <c r="E144" s="37" t="str">
        <f t="shared" si="1"/>
        <v>ส.อ. ปัฐวี ชวนชม</v>
      </c>
      <c r="F144" s="82" t="s">
        <v>353</v>
      </c>
      <c r="G144" s="83" t="s">
        <v>2141</v>
      </c>
      <c r="H144" s="86" t="s">
        <v>2142</v>
      </c>
      <c r="I144" s="20">
        <v>1.594900141E9</v>
      </c>
      <c r="J144" s="20">
        <v>1.709900986123E12</v>
      </c>
      <c r="K144" s="119" t="s">
        <v>2143</v>
      </c>
      <c r="L144" s="29" t="s">
        <v>2144</v>
      </c>
      <c r="M144" s="41" t="s">
        <v>1276</v>
      </c>
      <c r="N144" s="20" t="s">
        <v>72</v>
      </c>
      <c r="O144" s="39" t="s">
        <v>73</v>
      </c>
      <c r="P144" s="42">
        <v>9.2680498E8</v>
      </c>
      <c r="Q144" s="43"/>
      <c r="R144" s="45" t="s">
        <v>49</v>
      </c>
      <c r="S144" s="45" t="s">
        <v>48</v>
      </c>
      <c r="T144" s="66" t="s">
        <v>2145</v>
      </c>
      <c r="U144" s="53">
        <v>34914.0</v>
      </c>
      <c r="V144" s="31" t="s">
        <v>77</v>
      </c>
      <c r="W144" s="55">
        <f t="shared" si="2"/>
        <v>31</v>
      </c>
      <c r="X144" s="55" t="s">
        <v>98</v>
      </c>
      <c r="Y144" s="55" t="s">
        <v>428</v>
      </c>
      <c r="Z144" s="55" t="s">
        <v>2146</v>
      </c>
      <c r="AA144" s="58" t="s">
        <v>2147</v>
      </c>
      <c r="AB144" s="58" t="s">
        <v>2148</v>
      </c>
      <c r="AC144" s="55"/>
      <c r="AD144" s="55" t="s">
        <v>2149</v>
      </c>
      <c r="AE144" s="55" t="s">
        <v>2150</v>
      </c>
    </row>
    <row r="145">
      <c r="A145" s="103">
        <v>144.0</v>
      </c>
      <c r="B145" s="85" t="s">
        <v>349</v>
      </c>
      <c r="C145" s="83" t="s">
        <v>2151</v>
      </c>
      <c r="D145" s="86" t="s">
        <v>2152</v>
      </c>
      <c r="E145" s="37" t="str">
        <f t="shared" si="1"/>
        <v>ส.อ. เมธัส พนมวิจิตร</v>
      </c>
      <c r="F145" s="82" t="s">
        <v>353</v>
      </c>
      <c r="G145" s="83" t="s">
        <v>2153</v>
      </c>
      <c r="H145" s="86" t="s">
        <v>2154</v>
      </c>
      <c r="I145" s="20">
        <v>1.614900599E9</v>
      </c>
      <c r="J145" s="20">
        <v>1.709901306274E12</v>
      </c>
      <c r="K145" s="78" t="s">
        <v>2143</v>
      </c>
      <c r="L145" s="29" t="s">
        <v>2155</v>
      </c>
      <c r="M145" s="41" t="s">
        <v>1708</v>
      </c>
      <c r="N145" s="20" t="s">
        <v>188</v>
      </c>
      <c r="O145" s="39" t="s">
        <v>73</v>
      </c>
      <c r="P145" s="67">
        <v>8.47999324E8</v>
      </c>
      <c r="Q145" s="43"/>
      <c r="R145" s="45" t="s">
        <v>49</v>
      </c>
      <c r="S145" s="45" t="s">
        <v>48</v>
      </c>
      <c r="T145" s="66" t="s">
        <v>2156</v>
      </c>
      <c r="U145" s="53">
        <v>36537.0</v>
      </c>
      <c r="V145" s="31" t="s">
        <v>77</v>
      </c>
      <c r="W145" s="55">
        <f t="shared" si="2"/>
        <v>26</v>
      </c>
      <c r="X145" s="55" t="s">
        <v>98</v>
      </c>
      <c r="Y145" s="55" t="s">
        <v>428</v>
      </c>
      <c r="Z145" s="55" t="s">
        <v>2157</v>
      </c>
      <c r="AA145" s="58" t="s">
        <v>2158</v>
      </c>
      <c r="AB145" s="58" t="s">
        <v>2159</v>
      </c>
      <c r="AC145" s="55"/>
      <c r="AD145" s="55" t="s">
        <v>2160</v>
      </c>
      <c r="AE145" s="55" t="s">
        <v>2161</v>
      </c>
    </row>
    <row r="146">
      <c r="A146" s="103">
        <v>145.0</v>
      </c>
      <c r="B146" s="34" t="s">
        <v>457</v>
      </c>
      <c r="C146" s="35" t="s">
        <v>2162</v>
      </c>
      <c r="D146" s="36" t="s">
        <v>2163</v>
      </c>
      <c r="E146" s="37" t="str">
        <f t="shared" si="1"/>
        <v>ส.ต.หญิง สุพรรษา แสนคำปน</v>
      </c>
      <c r="F146" s="63" t="s">
        <v>462</v>
      </c>
      <c r="G146" s="35" t="s">
        <v>2164</v>
      </c>
      <c r="H146" s="36" t="s">
        <v>2165</v>
      </c>
      <c r="I146" s="48">
        <v>6.651011946E9</v>
      </c>
      <c r="J146" s="48">
        <v>1.189900195733E12</v>
      </c>
      <c r="K146" s="137" t="s">
        <v>2166</v>
      </c>
      <c r="L146" s="36" t="s">
        <v>561</v>
      </c>
      <c r="M146" s="41" t="s">
        <v>2167</v>
      </c>
      <c r="N146" s="48" t="s">
        <v>72</v>
      </c>
      <c r="O146" s="39" t="s">
        <v>73</v>
      </c>
      <c r="P146" s="42">
        <v>6.32166266E8</v>
      </c>
      <c r="Q146" s="43"/>
      <c r="R146" s="45" t="s">
        <v>49</v>
      </c>
      <c r="S146" s="45" t="s">
        <v>48</v>
      </c>
      <c r="T146" s="66" t="s">
        <v>2168</v>
      </c>
      <c r="U146" s="53">
        <v>34626.0</v>
      </c>
      <c r="V146" s="31" t="s">
        <v>77</v>
      </c>
      <c r="W146" s="55">
        <f t="shared" si="2"/>
        <v>31</v>
      </c>
      <c r="X146" s="55" t="s">
        <v>229</v>
      </c>
      <c r="Y146" s="55" t="s">
        <v>428</v>
      </c>
      <c r="Z146" s="55" t="s">
        <v>2169</v>
      </c>
      <c r="AA146" s="58" t="s">
        <v>2170</v>
      </c>
      <c r="AB146" s="58" t="s">
        <v>2171</v>
      </c>
      <c r="AC146" s="55"/>
      <c r="AD146" s="55" t="s">
        <v>2172</v>
      </c>
      <c r="AE146" s="55" t="s">
        <v>2173</v>
      </c>
    </row>
    <row r="147">
      <c r="A147" s="103">
        <v>146.0</v>
      </c>
      <c r="B147" s="74" t="s">
        <v>349</v>
      </c>
      <c r="C147" s="35" t="s">
        <v>2174</v>
      </c>
      <c r="D147" s="36" t="s">
        <v>2175</v>
      </c>
      <c r="E147" s="37" t="str">
        <f t="shared" si="1"/>
        <v>ส.อ. ณัฐพันธ์ ลีพิลา</v>
      </c>
      <c r="F147" s="63" t="s">
        <v>353</v>
      </c>
      <c r="G147" s="35" t="s">
        <v>2176</v>
      </c>
      <c r="H147" s="36" t="s">
        <v>2177</v>
      </c>
      <c r="I147" s="48">
        <v>1.59490075E9</v>
      </c>
      <c r="J147" s="48">
        <v>1.709700153756E12</v>
      </c>
      <c r="K147" s="209" t="s">
        <v>2178</v>
      </c>
      <c r="L147" s="36" t="s">
        <v>2096</v>
      </c>
      <c r="M147" s="41" t="s">
        <v>607</v>
      </c>
      <c r="N147" s="48" t="s">
        <v>85</v>
      </c>
      <c r="O147" s="39" t="s">
        <v>73</v>
      </c>
      <c r="P147" s="42">
        <v>9.66470803E8</v>
      </c>
      <c r="Q147" s="43"/>
      <c r="R147" s="45" t="s">
        <v>49</v>
      </c>
      <c r="S147" s="45" t="s">
        <v>48</v>
      </c>
      <c r="T147" s="66" t="s">
        <v>2179</v>
      </c>
      <c r="U147" s="53">
        <v>34787.0</v>
      </c>
      <c r="V147" s="31" t="s">
        <v>77</v>
      </c>
      <c r="W147" s="55">
        <f t="shared" si="2"/>
        <v>31</v>
      </c>
      <c r="X147" s="55" t="s">
        <v>98</v>
      </c>
      <c r="Y147" s="55" t="s">
        <v>428</v>
      </c>
      <c r="Z147" s="55" t="s">
        <v>2180</v>
      </c>
      <c r="AA147" s="114" t="s">
        <v>2181</v>
      </c>
      <c r="AB147" s="58" t="s">
        <v>2182</v>
      </c>
      <c r="AC147" s="55"/>
      <c r="AD147" s="55" t="s">
        <v>2183</v>
      </c>
      <c r="AE147" s="55" t="s">
        <v>2184</v>
      </c>
    </row>
    <row r="148">
      <c r="A148" s="103">
        <v>147.0</v>
      </c>
      <c r="B148" s="85" t="s">
        <v>349</v>
      </c>
      <c r="C148" s="83" t="s">
        <v>2185</v>
      </c>
      <c r="D148" s="86" t="s">
        <v>2186</v>
      </c>
      <c r="E148" s="37" t="str">
        <f t="shared" si="1"/>
        <v>ส.อ. ณรงค์เกียรติ เจริญพร</v>
      </c>
      <c r="F148" s="82" t="s">
        <v>353</v>
      </c>
      <c r="G148" s="83" t="s">
        <v>2187</v>
      </c>
      <c r="H148" s="86" t="s">
        <v>2188</v>
      </c>
      <c r="I148" s="20">
        <v>1.534900616E9</v>
      </c>
      <c r="J148" s="20">
        <v>1.709900646233E12</v>
      </c>
      <c r="K148" s="40" t="s">
        <v>2189</v>
      </c>
      <c r="L148" s="29" t="s">
        <v>2190</v>
      </c>
      <c r="M148" s="41" t="s">
        <v>1234</v>
      </c>
      <c r="N148" s="20" t="s">
        <v>72</v>
      </c>
      <c r="O148" s="39" t="s">
        <v>73</v>
      </c>
      <c r="P148" s="42">
        <v>8.75449675E8</v>
      </c>
      <c r="Q148" s="43"/>
      <c r="R148" s="45" t="s">
        <v>49</v>
      </c>
      <c r="S148" s="45" t="s">
        <v>48</v>
      </c>
      <c r="T148" s="66" t="s">
        <v>2191</v>
      </c>
      <c r="U148" s="53">
        <v>33475.0</v>
      </c>
      <c r="V148" s="31" t="s">
        <v>77</v>
      </c>
      <c r="W148" s="55">
        <f t="shared" si="2"/>
        <v>35</v>
      </c>
      <c r="X148" s="55" t="s">
        <v>98</v>
      </c>
      <c r="Y148" s="55" t="s">
        <v>428</v>
      </c>
      <c r="Z148" s="55" t="s">
        <v>2192</v>
      </c>
      <c r="AA148" s="114" t="s">
        <v>2193</v>
      </c>
      <c r="AB148" s="58" t="s">
        <v>2194</v>
      </c>
      <c r="AC148" s="55"/>
      <c r="AD148" s="55" t="s">
        <v>2195</v>
      </c>
      <c r="AE148" s="55" t="s">
        <v>2196</v>
      </c>
    </row>
    <row r="149">
      <c r="A149" s="103">
        <v>148.0</v>
      </c>
      <c r="B149" s="85" t="s">
        <v>106</v>
      </c>
      <c r="C149" s="83" t="s">
        <v>2197</v>
      </c>
      <c r="D149" s="86" t="s">
        <v>2198</v>
      </c>
      <c r="E149" s="37" t="str">
        <f t="shared" si="1"/>
        <v>จ.ส.อ. คำรณ แจ่มใส</v>
      </c>
      <c r="F149" s="82" t="s">
        <v>111</v>
      </c>
      <c r="G149" s="83" t="s">
        <v>2199</v>
      </c>
      <c r="H149" s="86" t="s">
        <v>2200</v>
      </c>
      <c r="I149" s="20">
        <v>1.531900506E9</v>
      </c>
      <c r="J149" s="20">
        <v>1.71090013465E12</v>
      </c>
      <c r="K149" s="40" t="s">
        <v>2189</v>
      </c>
      <c r="L149" s="29" t="s">
        <v>2201</v>
      </c>
      <c r="M149" s="41" t="s">
        <v>880</v>
      </c>
      <c r="N149" s="144" t="s">
        <v>85</v>
      </c>
      <c r="O149" s="39" t="s">
        <v>73</v>
      </c>
      <c r="P149" s="42">
        <v>6.44541332E8</v>
      </c>
      <c r="Q149" s="43"/>
      <c r="R149" s="45" t="s">
        <v>49</v>
      </c>
      <c r="S149" s="45" t="s">
        <v>48</v>
      </c>
      <c r="T149" s="66" t="s">
        <v>2202</v>
      </c>
      <c r="U149" s="53">
        <v>33443.0</v>
      </c>
      <c r="V149" s="31" t="s">
        <v>77</v>
      </c>
      <c r="W149" s="55">
        <f t="shared" si="2"/>
        <v>35</v>
      </c>
      <c r="X149" s="55" t="s">
        <v>98</v>
      </c>
      <c r="Y149" s="55" t="s">
        <v>428</v>
      </c>
      <c r="Z149" s="55" t="s">
        <v>1329</v>
      </c>
      <c r="AA149" s="58" t="s">
        <v>2203</v>
      </c>
      <c r="AB149" s="58" t="s">
        <v>2204</v>
      </c>
      <c r="AC149" s="55"/>
      <c r="AD149" s="55" t="s">
        <v>2205</v>
      </c>
      <c r="AE149" s="55" t="s">
        <v>2206</v>
      </c>
    </row>
    <row r="150">
      <c r="A150" s="103">
        <v>149.0</v>
      </c>
      <c r="B150" s="204" t="s">
        <v>646</v>
      </c>
      <c r="C150" s="83" t="s">
        <v>2207</v>
      </c>
      <c r="D150" s="86" t="s">
        <v>2208</v>
      </c>
      <c r="E150" s="37" t="str">
        <f t="shared" si="1"/>
        <v>จ.ส.ต. นววิช อินทร์อ่อน</v>
      </c>
      <c r="F150" s="99" t="s">
        <v>659</v>
      </c>
      <c r="G150" s="83" t="s">
        <v>2209</v>
      </c>
      <c r="H150" s="86" t="s">
        <v>2210</v>
      </c>
      <c r="I150" s="20">
        <v>1.574900389E9</v>
      </c>
      <c r="J150" s="20">
        <v>1.820500080161E12</v>
      </c>
      <c r="K150" s="40" t="s">
        <v>2211</v>
      </c>
      <c r="L150" s="29" t="s">
        <v>2212</v>
      </c>
      <c r="M150" s="41" t="s">
        <v>1901</v>
      </c>
      <c r="N150" s="20" t="s">
        <v>85</v>
      </c>
      <c r="O150" s="39" t="s">
        <v>73</v>
      </c>
      <c r="P150" s="42">
        <v>9.25144515E8</v>
      </c>
      <c r="Q150" s="43"/>
      <c r="R150" s="45" t="s">
        <v>49</v>
      </c>
      <c r="S150" s="45" t="s">
        <v>48</v>
      </c>
      <c r="T150" s="66" t="s">
        <v>2213</v>
      </c>
      <c r="U150" s="57">
        <v>33502.0</v>
      </c>
      <c r="V150" s="31" t="s">
        <v>77</v>
      </c>
      <c r="W150" s="55">
        <f t="shared" si="2"/>
        <v>35</v>
      </c>
      <c r="X150" s="55" t="s">
        <v>98</v>
      </c>
      <c r="Y150" s="55" t="s">
        <v>428</v>
      </c>
      <c r="Z150" s="55" t="s">
        <v>2214</v>
      </c>
      <c r="AA150" s="114" t="s">
        <v>2215</v>
      </c>
      <c r="AB150" s="58" t="s">
        <v>2216</v>
      </c>
      <c r="AC150" s="55"/>
      <c r="AD150" s="55" t="s">
        <v>2217</v>
      </c>
      <c r="AE150" s="55" t="s">
        <v>2218</v>
      </c>
    </row>
    <row r="151">
      <c r="A151" s="103">
        <v>150.0</v>
      </c>
      <c r="B151" s="85" t="s">
        <v>106</v>
      </c>
      <c r="C151" s="83" t="s">
        <v>2219</v>
      </c>
      <c r="D151" s="86" t="s">
        <v>2220</v>
      </c>
      <c r="E151" s="37" t="str">
        <f t="shared" si="1"/>
        <v>จ.ส.อ. อาทิตย์ มณีรัตนเลิศวานิช</v>
      </c>
      <c r="F151" s="82" t="s">
        <v>111</v>
      </c>
      <c r="G151" s="83" t="s">
        <v>2221</v>
      </c>
      <c r="H151" s="86" t="s">
        <v>2222</v>
      </c>
      <c r="I151" s="20">
        <v>1.364900535E9</v>
      </c>
      <c r="J151" s="20">
        <v>3.700300013602E12</v>
      </c>
      <c r="K151" s="40" t="s">
        <v>2211</v>
      </c>
      <c r="L151" s="29" t="s">
        <v>2223</v>
      </c>
      <c r="M151" s="41" t="s">
        <v>1742</v>
      </c>
      <c r="N151" s="20" t="s">
        <v>155</v>
      </c>
      <c r="O151" s="39" t="s">
        <v>73</v>
      </c>
      <c r="P151" s="67">
        <v>9.26191802E8</v>
      </c>
      <c r="Q151" s="43"/>
      <c r="R151" s="45" t="s">
        <v>49</v>
      </c>
      <c r="S151" s="45" t="s">
        <v>48</v>
      </c>
      <c r="T151" s="66" t="s">
        <v>2224</v>
      </c>
      <c r="U151" s="53">
        <v>26615.0</v>
      </c>
      <c r="V151" s="31" t="s">
        <v>77</v>
      </c>
      <c r="W151" s="55">
        <f t="shared" si="2"/>
        <v>53</v>
      </c>
      <c r="X151" s="55" t="s">
        <v>98</v>
      </c>
      <c r="Y151" s="55" t="s">
        <v>428</v>
      </c>
      <c r="Z151" s="55" t="s">
        <v>2225</v>
      </c>
      <c r="AA151" s="114" t="s">
        <v>2226</v>
      </c>
      <c r="AB151" s="58" t="s">
        <v>2227</v>
      </c>
      <c r="AC151" s="55"/>
      <c r="AD151" s="55" t="s">
        <v>2228</v>
      </c>
      <c r="AE151" s="55" t="s">
        <v>2229</v>
      </c>
    </row>
    <row r="152">
      <c r="A152" s="103">
        <v>151.0</v>
      </c>
      <c r="B152" s="85" t="s">
        <v>106</v>
      </c>
      <c r="C152" s="83" t="s">
        <v>2230</v>
      </c>
      <c r="D152" s="86" t="s">
        <v>2231</v>
      </c>
      <c r="E152" s="102" t="str">
        <f t="shared" si="1"/>
        <v>จ.ส.อ. อรรคพล จิตรบรรจง</v>
      </c>
      <c r="F152" s="82" t="s">
        <v>111</v>
      </c>
      <c r="G152" s="83" t="s">
        <v>2232</v>
      </c>
      <c r="H152" s="86" t="s">
        <v>2233</v>
      </c>
      <c r="I152" s="20">
        <v>1.544901125E9</v>
      </c>
      <c r="J152" s="20">
        <v>1.709900775921E12</v>
      </c>
      <c r="K152" s="40" t="s">
        <v>2108</v>
      </c>
      <c r="L152" s="29" t="s">
        <v>2234</v>
      </c>
      <c r="M152" s="41" t="s">
        <v>1814</v>
      </c>
      <c r="N152" s="210" t="s">
        <v>155</v>
      </c>
      <c r="O152" s="39" t="s">
        <v>73</v>
      </c>
      <c r="P152" s="42">
        <v>8.53777626E8</v>
      </c>
      <c r="Q152" s="43"/>
      <c r="R152" s="45" t="s">
        <v>50</v>
      </c>
      <c r="S152" s="45" t="s">
        <v>48</v>
      </c>
      <c r="T152" s="66" t="s">
        <v>2235</v>
      </c>
      <c r="U152" s="53">
        <v>33997.0</v>
      </c>
      <c r="V152" s="31" t="s">
        <v>77</v>
      </c>
      <c r="W152" s="55">
        <f t="shared" si="2"/>
        <v>33</v>
      </c>
      <c r="X152" s="55" t="s">
        <v>98</v>
      </c>
      <c r="Y152" s="55" t="s">
        <v>428</v>
      </c>
      <c r="Z152" s="55" t="s">
        <v>2236</v>
      </c>
      <c r="AA152" s="58" t="s">
        <v>2237</v>
      </c>
      <c r="AB152" s="58" t="s">
        <v>2238</v>
      </c>
      <c r="AC152" s="55"/>
      <c r="AD152" s="55" t="s">
        <v>2239</v>
      </c>
      <c r="AE152" s="55" t="s">
        <v>2240</v>
      </c>
    </row>
    <row r="153">
      <c r="A153" s="103">
        <v>152.0</v>
      </c>
      <c r="B153" s="85" t="s">
        <v>106</v>
      </c>
      <c r="C153" s="83" t="s">
        <v>2241</v>
      </c>
      <c r="D153" s="86" t="s">
        <v>2242</v>
      </c>
      <c r="E153" s="37" t="str">
        <f t="shared" si="1"/>
        <v>จ.ส.อ. ผดุงพล แสงจันทร์</v>
      </c>
      <c r="F153" s="82" t="s">
        <v>111</v>
      </c>
      <c r="G153" s="83" t="s">
        <v>2243</v>
      </c>
      <c r="H153" s="86" t="s">
        <v>2244</v>
      </c>
      <c r="I153" s="20">
        <v>1.504900337E9</v>
      </c>
      <c r="J153" s="20">
        <v>1.700400110042E12</v>
      </c>
      <c r="K153" s="40" t="s">
        <v>2245</v>
      </c>
      <c r="L153" s="29" t="s">
        <v>2246</v>
      </c>
      <c r="M153" s="41" t="s">
        <v>1695</v>
      </c>
      <c r="N153" s="20" t="s">
        <v>85</v>
      </c>
      <c r="O153" s="39" t="s">
        <v>73</v>
      </c>
      <c r="P153" s="42">
        <v>9.84155975E8</v>
      </c>
      <c r="Q153" s="43"/>
      <c r="R153" s="45" t="s">
        <v>50</v>
      </c>
      <c r="S153" s="45" t="s">
        <v>48</v>
      </c>
      <c r="T153" s="66" t="s">
        <v>2247</v>
      </c>
      <c r="U153" s="53">
        <v>32122.0</v>
      </c>
      <c r="V153" s="31" t="s">
        <v>77</v>
      </c>
      <c r="W153" s="55">
        <f t="shared" si="2"/>
        <v>38</v>
      </c>
      <c r="X153" s="55" t="s">
        <v>98</v>
      </c>
      <c r="Y153" s="55" t="s">
        <v>428</v>
      </c>
      <c r="Z153" s="55" t="s">
        <v>2248</v>
      </c>
      <c r="AA153" s="58" t="s">
        <v>2249</v>
      </c>
      <c r="AB153" s="58" t="s">
        <v>2250</v>
      </c>
      <c r="AC153" s="55"/>
      <c r="AD153" s="55" t="s">
        <v>2251</v>
      </c>
      <c r="AE153" s="55" t="s">
        <v>2252</v>
      </c>
    </row>
    <row r="154">
      <c r="A154" s="103">
        <v>153.0</v>
      </c>
      <c r="B154" s="85" t="s">
        <v>349</v>
      </c>
      <c r="C154" s="83" t="s">
        <v>2253</v>
      </c>
      <c r="D154" s="86" t="s">
        <v>2254</v>
      </c>
      <c r="E154" s="37" t="str">
        <f t="shared" si="1"/>
        <v>ส.อ. อิสระพงษ์ สุขสมบูรณ์</v>
      </c>
      <c r="F154" s="82" t="s">
        <v>353</v>
      </c>
      <c r="G154" s="83" t="s">
        <v>2255</v>
      </c>
      <c r="H154" s="86" t="s">
        <v>2256</v>
      </c>
      <c r="I154" s="20">
        <v>1.584900449E9</v>
      </c>
      <c r="J154" s="20">
        <v>1.709900812451E12</v>
      </c>
      <c r="K154" s="40" t="s">
        <v>2245</v>
      </c>
      <c r="L154" s="29" t="s">
        <v>2257</v>
      </c>
      <c r="M154" s="41" t="s">
        <v>473</v>
      </c>
      <c r="N154" s="20" t="s">
        <v>188</v>
      </c>
      <c r="O154" s="39" t="s">
        <v>73</v>
      </c>
      <c r="P154" s="42">
        <v>9.70797632E8</v>
      </c>
      <c r="Q154" s="43"/>
      <c r="R154" s="45" t="s">
        <v>50</v>
      </c>
      <c r="S154" s="45" t="s">
        <v>48</v>
      </c>
      <c r="T154" s="66" t="s">
        <v>2258</v>
      </c>
      <c r="U154" s="53">
        <v>34164.0</v>
      </c>
      <c r="V154" s="31" t="s">
        <v>77</v>
      </c>
      <c r="W154" s="55">
        <f t="shared" si="2"/>
        <v>33</v>
      </c>
      <c r="X154" s="55" t="s">
        <v>98</v>
      </c>
      <c r="Y154" s="55" t="s">
        <v>428</v>
      </c>
      <c r="Z154" s="55" t="s">
        <v>689</v>
      </c>
      <c r="AA154" s="58" t="s">
        <v>2259</v>
      </c>
      <c r="AB154" s="58" t="s">
        <v>2260</v>
      </c>
      <c r="AC154" s="55"/>
      <c r="AD154" s="55" t="s">
        <v>2261</v>
      </c>
      <c r="AE154" s="55" t="s">
        <v>2262</v>
      </c>
    </row>
    <row r="155">
      <c r="A155" s="103">
        <v>154.0</v>
      </c>
      <c r="B155" s="85" t="s">
        <v>106</v>
      </c>
      <c r="C155" s="83" t="s">
        <v>699</v>
      </c>
      <c r="D155" s="86" t="s">
        <v>2263</v>
      </c>
      <c r="E155" s="37" t="str">
        <f t="shared" si="1"/>
        <v>จ.ส.อ. มงคล นามงาม</v>
      </c>
      <c r="F155" s="82" t="s">
        <v>111</v>
      </c>
      <c r="G155" s="83" t="s">
        <v>1325</v>
      </c>
      <c r="H155" s="86" t="s">
        <v>2264</v>
      </c>
      <c r="I155" s="20">
        <v>1.554900468E9</v>
      </c>
      <c r="J155" s="20">
        <v>1.709900829478E12</v>
      </c>
      <c r="K155" s="40" t="s">
        <v>2265</v>
      </c>
      <c r="L155" s="29" t="s">
        <v>2266</v>
      </c>
      <c r="M155" s="41" t="s">
        <v>2110</v>
      </c>
      <c r="N155" s="20" t="s">
        <v>85</v>
      </c>
      <c r="O155" s="39" t="s">
        <v>73</v>
      </c>
      <c r="P155" s="42">
        <v>6.30731E8</v>
      </c>
      <c r="Q155" s="43"/>
      <c r="R155" s="45" t="s">
        <v>50</v>
      </c>
      <c r="S155" s="45" t="s">
        <v>48</v>
      </c>
      <c r="T155" s="66" t="s">
        <v>2267</v>
      </c>
      <c r="U155" s="53">
        <v>34232.0</v>
      </c>
      <c r="V155" s="31" t="s">
        <v>77</v>
      </c>
      <c r="W155" s="55">
        <f t="shared" si="2"/>
        <v>33</v>
      </c>
      <c r="X155" s="55" t="s">
        <v>98</v>
      </c>
      <c r="Y155" s="55" t="s">
        <v>428</v>
      </c>
      <c r="Z155" s="55" t="s">
        <v>2268</v>
      </c>
      <c r="AA155" s="58" t="s">
        <v>2269</v>
      </c>
      <c r="AB155" s="58" t="s">
        <v>2270</v>
      </c>
      <c r="AC155" s="55"/>
      <c r="AD155" s="55" t="s">
        <v>2271</v>
      </c>
      <c r="AE155" s="55" t="s">
        <v>2272</v>
      </c>
    </row>
    <row r="156">
      <c r="A156" s="103">
        <v>155.0</v>
      </c>
      <c r="B156" s="85" t="s">
        <v>349</v>
      </c>
      <c r="C156" s="83" t="s">
        <v>2273</v>
      </c>
      <c r="D156" s="86" t="s">
        <v>2274</v>
      </c>
      <c r="E156" s="37" t="str">
        <f t="shared" si="1"/>
        <v>ส.อ. ณัฐวุฒิ บุตรี</v>
      </c>
      <c r="F156" s="82" t="s">
        <v>353</v>
      </c>
      <c r="G156" s="83" t="s">
        <v>2275</v>
      </c>
      <c r="H156" s="86" t="s">
        <v>2276</v>
      </c>
      <c r="I156" s="20">
        <v>1.594900197E9</v>
      </c>
      <c r="J156" s="20">
        <v>1.709900974451E12</v>
      </c>
      <c r="K156" s="40" t="s">
        <v>2265</v>
      </c>
      <c r="L156" s="29" t="s">
        <v>2277</v>
      </c>
      <c r="M156" s="41" t="s">
        <v>2278</v>
      </c>
      <c r="N156" s="20" t="s">
        <v>85</v>
      </c>
      <c r="O156" s="39" t="s">
        <v>73</v>
      </c>
      <c r="P156" s="42">
        <v>9.22387635E8</v>
      </c>
      <c r="Q156" s="43"/>
      <c r="R156" s="45" t="s">
        <v>50</v>
      </c>
      <c r="S156" s="45" t="s">
        <v>48</v>
      </c>
      <c r="T156" s="66" t="s">
        <v>2279</v>
      </c>
      <c r="U156" s="57">
        <v>34857.0</v>
      </c>
      <c r="V156" s="31" t="s">
        <v>77</v>
      </c>
      <c r="W156" s="55">
        <f t="shared" si="2"/>
        <v>31</v>
      </c>
      <c r="X156" s="55" t="s">
        <v>98</v>
      </c>
      <c r="Y156" s="55" t="s">
        <v>428</v>
      </c>
      <c r="Z156" s="55" t="s">
        <v>1756</v>
      </c>
      <c r="AA156" s="58" t="s">
        <v>2280</v>
      </c>
      <c r="AB156" s="58" t="s">
        <v>2281</v>
      </c>
      <c r="AC156" s="55"/>
      <c r="AD156" s="55" t="s">
        <v>2282</v>
      </c>
      <c r="AE156" s="55" t="s">
        <v>2283</v>
      </c>
    </row>
    <row r="157">
      <c r="A157" s="103">
        <v>156.0</v>
      </c>
      <c r="B157" s="85" t="s">
        <v>106</v>
      </c>
      <c r="C157" s="83" t="s">
        <v>1715</v>
      </c>
      <c r="D157" s="86" t="s">
        <v>2284</v>
      </c>
      <c r="E157" s="37" t="str">
        <f t="shared" si="1"/>
        <v>จ.ส.อ. อภิชาติ พิมล</v>
      </c>
      <c r="F157" s="82" t="s">
        <v>111</v>
      </c>
      <c r="G157" s="83" t="s">
        <v>2285</v>
      </c>
      <c r="H157" s="86" t="s">
        <v>2286</v>
      </c>
      <c r="I157" s="20">
        <v>1.475900078E9</v>
      </c>
      <c r="J157" s="20">
        <v>1.759900047607E12</v>
      </c>
      <c r="K157" s="40" t="s">
        <v>2287</v>
      </c>
      <c r="L157" s="29" t="s">
        <v>2288</v>
      </c>
      <c r="M157" s="41" t="s">
        <v>992</v>
      </c>
      <c r="N157" s="20" t="s">
        <v>72</v>
      </c>
      <c r="O157" s="39" t="s">
        <v>73</v>
      </c>
      <c r="P157" s="42">
        <v>9.35198705E8</v>
      </c>
      <c r="Q157" s="43"/>
      <c r="R157" s="45" t="s">
        <v>50</v>
      </c>
      <c r="S157" s="45" t="s">
        <v>48</v>
      </c>
      <c r="T157" s="66" t="s">
        <v>2289</v>
      </c>
      <c r="U157" s="53">
        <v>31487.0</v>
      </c>
      <c r="V157" s="31" t="s">
        <v>77</v>
      </c>
      <c r="W157" s="55">
        <f t="shared" si="2"/>
        <v>40</v>
      </c>
      <c r="X157" s="55" t="s">
        <v>98</v>
      </c>
      <c r="Y157" s="55" t="s">
        <v>428</v>
      </c>
      <c r="Z157" s="55" t="s">
        <v>906</v>
      </c>
      <c r="AA157" s="114" t="s">
        <v>2290</v>
      </c>
      <c r="AB157" s="58" t="s">
        <v>2291</v>
      </c>
      <c r="AC157" s="55"/>
      <c r="AD157" s="55" t="s">
        <v>2292</v>
      </c>
      <c r="AE157" s="55" t="s">
        <v>2293</v>
      </c>
    </row>
    <row r="158">
      <c r="A158" s="103">
        <v>157.0</v>
      </c>
      <c r="B158" s="204" t="s">
        <v>398</v>
      </c>
      <c r="C158" s="83" t="s">
        <v>2294</v>
      </c>
      <c r="D158" s="86" t="s">
        <v>2295</v>
      </c>
      <c r="E158" s="37" t="str">
        <f t="shared" si="1"/>
        <v>จ.ส.ท. ชำนาญ สวัสดี</v>
      </c>
      <c r="F158" s="99" t="s">
        <v>410</v>
      </c>
      <c r="G158" s="83" t="s">
        <v>2296</v>
      </c>
      <c r="H158" s="86" t="s">
        <v>2297</v>
      </c>
      <c r="I158" s="20">
        <v>1.504900703E9</v>
      </c>
      <c r="J158" s="20">
        <v>1.709900157879E12</v>
      </c>
      <c r="K158" s="40" t="s">
        <v>2298</v>
      </c>
      <c r="L158" s="29" t="s">
        <v>2299</v>
      </c>
      <c r="M158" s="41" t="s">
        <v>1847</v>
      </c>
      <c r="N158" s="20" t="s">
        <v>72</v>
      </c>
      <c r="O158" s="39" t="s">
        <v>73</v>
      </c>
      <c r="P158" s="42">
        <v>9.48918915E8</v>
      </c>
      <c r="Q158" s="43"/>
      <c r="R158" s="45" t="s">
        <v>50</v>
      </c>
      <c r="S158" s="45" t="s">
        <v>48</v>
      </c>
      <c r="T158" s="66" t="s">
        <v>2300</v>
      </c>
      <c r="U158" s="53">
        <v>31357.0</v>
      </c>
      <c r="V158" s="31" t="s">
        <v>77</v>
      </c>
      <c r="W158" s="55">
        <f t="shared" si="2"/>
        <v>40</v>
      </c>
      <c r="X158" s="55" t="s">
        <v>98</v>
      </c>
      <c r="Y158" s="55" t="s">
        <v>428</v>
      </c>
      <c r="Z158" s="55" t="s">
        <v>2301</v>
      </c>
      <c r="AA158" s="58" t="s">
        <v>2302</v>
      </c>
      <c r="AB158" s="58" t="s">
        <v>2303</v>
      </c>
      <c r="AC158" s="55"/>
      <c r="AD158" s="55" t="s">
        <v>2304</v>
      </c>
      <c r="AE158" s="55" t="s">
        <v>2305</v>
      </c>
    </row>
    <row r="159">
      <c r="A159" s="103">
        <v>158.0</v>
      </c>
      <c r="B159" s="85" t="s">
        <v>349</v>
      </c>
      <c r="C159" s="83" t="s">
        <v>2306</v>
      </c>
      <c r="D159" s="86" t="s">
        <v>2307</v>
      </c>
      <c r="E159" s="37" t="str">
        <f t="shared" si="1"/>
        <v>ส.อ. ภาณุพงษ์ เข็มขาว</v>
      </c>
      <c r="F159" s="82" t="s">
        <v>353</v>
      </c>
      <c r="G159" s="83" t="s">
        <v>2308</v>
      </c>
      <c r="H159" s="83" t="s">
        <v>2309</v>
      </c>
      <c r="I159" s="144">
        <v>1.584901768E9</v>
      </c>
      <c r="J159" s="144">
        <v>1.709900481366E12</v>
      </c>
      <c r="K159" s="40" t="s">
        <v>2310</v>
      </c>
      <c r="L159" s="29" t="s">
        <v>2311</v>
      </c>
      <c r="M159" s="41" t="s">
        <v>2312</v>
      </c>
      <c r="N159" s="20" t="s">
        <v>72</v>
      </c>
      <c r="O159" s="39" t="s">
        <v>73</v>
      </c>
      <c r="P159" s="42">
        <v>9.72516956E8</v>
      </c>
      <c r="Q159" s="43"/>
      <c r="R159" s="45" t="s">
        <v>50</v>
      </c>
      <c r="S159" s="45" t="s">
        <v>48</v>
      </c>
      <c r="T159" s="66" t="s">
        <v>2313</v>
      </c>
      <c r="U159" s="53">
        <v>32772.0</v>
      </c>
      <c r="V159" s="31" t="s">
        <v>77</v>
      </c>
      <c r="W159" s="55">
        <f t="shared" si="2"/>
        <v>37</v>
      </c>
      <c r="X159" s="55" t="s">
        <v>98</v>
      </c>
      <c r="Y159" s="55" t="s">
        <v>428</v>
      </c>
      <c r="Z159" s="55" t="s">
        <v>2314</v>
      </c>
      <c r="AA159" s="114" t="s">
        <v>2315</v>
      </c>
      <c r="AB159" s="58" t="s">
        <v>2316</v>
      </c>
      <c r="AC159" s="55"/>
      <c r="AD159" s="55" t="s">
        <v>2317</v>
      </c>
      <c r="AE159" s="55" t="s">
        <v>2318</v>
      </c>
    </row>
    <row r="160">
      <c r="A160" s="103">
        <v>159.0</v>
      </c>
      <c r="B160" s="85" t="s">
        <v>349</v>
      </c>
      <c r="C160" s="83" t="s">
        <v>2319</v>
      </c>
      <c r="D160" s="86" t="s">
        <v>2320</v>
      </c>
      <c r="E160" s="37" t="str">
        <f t="shared" si="1"/>
        <v>ส.อ. ธนยศ โชติวัฒนกุล</v>
      </c>
      <c r="F160" s="82" t="s">
        <v>353</v>
      </c>
      <c r="G160" s="83" t="s">
        <v>2321</v>
      </c>
      <c r="H160" s="86" t="s">
        <v>2322</v>
      </c>
      <c r="I160" s="39">
        <v>1.632100086E9</v>
      </c>
      <c r="J160" s="39">
        <v>1.309902702347E12</v>
      </c>
      <c r="K160" s="209" t="s">
        <v>2323</v>
      </c>
      <c r="L160" s="79" t="s">
        <v>2324</v>
      </c>
      <c r="M160" s="41" t="s">
        <v>658</v>
      </c>
      <c r="N160" s="210" t="s">
        <v>85</v>
      </c>
      <c r="O160" s="39" t="s">
        <v>2325</v>
      </c>
      <c r="P160" s="112">
        <v>9.80561517E8</v>
      </c>
      <c r="Q160" s="113"/>
      <c r="R160" s="45" t="s">
        <v>50</v>
      </c>
      <c r="S160" s="45" t="s">
        <v>48</v>
      </c>
      <c r="T160" s="66" t="s">
        <v>2326</v>
      </c>
      <c r="U160" s="53">
        <v>36409.0</v>
      </c>
      <c r="V160" s="31" t="s">
        <v>77</v>
      </c>
      <c r="W160" s="55">
        <f t="shared" si="2"/>
        <v>27</v>
      </c>
      <c r="X160" s="55" t="s">
        <v>98</v>
      </c>
      <c r="Y160" s="55" t="s">
        <v>428</v>
      </c>
      <c r="Z160" s="55" t="s">
        <v>1591</v>
      </c>
      <c r="AA160" s="114" t="s">
        <v>2327</v>
      </c>
      <c r="AB160" s="58" t="s">
        <v>2328</v>
      </c>
      <c r="AC160" s="55"/>
      <c r="AD160" s="55" t="s">
        <v>2329</v>
      </c>
      <c r="AE160" s="55" t="s">
        <v>2330</v>
      </c>
    </row>
    <row r="161">
      <c r="A161" s="103">
        <v>160.0</v>
      </c>
      <c r="B161" s="85" t="s">
        <v>106</v>
      </c>
      <c r="C161" s="83" t="s">
        <v>2331</v>
      </c>
      <c r="D161" s="86" t="s">
        <v>2332</v>
      </c>
      <c r="E161" s="37" t="str">
        <f t="shared" si="1"/>
        <v>จ.ส.อ. ศิริพงษ์ เชี่ยวชาญ</v>
      </c>
      <c r="F161" s="82" t="s">
        <v>111</v>
      </c>
      <c r="G161" s="83" t="s">
        <v>2333</v>
      </c>
      <c r="H161" s="86" t="s">
        <v>2334</v>
      </c>
      <c r="I161" s="39">
        <v>1.491800319E9</v>
      </c>
      <c r="J161" s="39">
        <v>1.269900069851E12</v>
      </c>
      <c r="K161" s="209" t="s">
        <v>2323</v>
      </c>
      <c r="L161" s="79" t="s">
        <v>2335</v>
      </c>
      <c r="M161" s="41" t="s">
        <v>2336</v>
      </c>
      <c r="N161" s="20" t="s">
        <v>72</v>
      </c>
      <c r="O161" s="39" t="s">
        <v>2325</v>
      </c>
      <c r="P161" s="112">
        <v>8.06154225E8</v>
      </c>
      <c r="Q161" s="113"/>
      <c r="R161" s="45" t="s">
        <v>50</v>
      </c>
      <c r="S161" s="45" t="s">
        <v>48</v>
      </c>
      <c r="T161" s="66" t="s">
        <v>2337</v>
      </c>
      <c r="U161" s="62">
        <v>32030.0</v>
      </c>
      <c r="V161" s="31" t="s">
        <v>77</v>
      </c>
      <c r="W161" s="55">
        <f t="shared" si="2"/>
        <v>39</v>
      </c>
      <c r="X161" s="55" t="s">
        <v>98</v>
      </c>
      <c r="Y161" s="55" t="s">
        <v>428</v>
      </c>
      <c r="Z161" s="55" t="s">
        <v>2338</v>
      </c>
      <c r="AA161" s="114" t="s">
        <v>2339</v>
      </c>
      <c r="AB161" s="58" t="s">
        <v>2340</v>
      </c>
      <c r="AC161" s="55"/>
      <c r="AD161" s="55" t="s">
        <v>2341</v>
      </c>
      <c r="AE161" s="55" t="s">
        <v>2342</v>
      </c>
    </row>
    <row r="162">
      <c r="A162" s="103">
        <v>161.0</v>
      </c>
      <c r="B162" s="85" t="s">
        <v>106</v>
      </c>
      <c r="C162" s="83" t="s">
        <v>2343</v>
      </c>
      <c r="D162" s="86" t="s">
        <v>2344</v>
      </c>
      <c r="E162" s="37" t="str">
        <f t="shared" si="1"/>
        <v>จ.ส.อ. นิรุตต์ ตั้งพงษ์</v>
      </c>
      <c r="F162" s="82" t="s">
        <v>111</v>
      </c>
      <c r="G162" s="83" t="s">
        <v>2345</v>
      </c>
      <c r="H162" s="86" t="s">
        <v>2346</v>
      </c>
      <c r="I162" s="39">
        <v>1.412103012E9</v>
      </c>
      <c r="J162" s="39">
        <v>3.360101465116E12</v>
      </c>
      <c r="K162" s="40" t="s">
        <v>2347</v>
      </c>
      <c r="L162" s="29" t="s">
        <v>2348</v>
      </c>
      <c r="M162" s="41" t="s">
        <v>2110</v>
      </c>
      <c r="N162" s="39" t="s">
        <v>72</v>
      </c>
      <c r="O162" s="39" t="s">
        <v>2325</v>
      </c>
      <c r="P162" s="112">
        <v>8.33639274E8</v>
      </c>
      <c r="Q162" s="113"/>
      <c r="R162" s="45" t="s">
        <v>50</v>
      </c>
      <c r="S162" s="45" t="s">
        <v>48</v>
      </c>
      <c r="T162" s="66" t="s">
        <v>2349</v>
      </c>
      <c r="U162" s="53">
        <v>29262.0</v>
      </c>
      <c r="V162" s="31" t="s">
        <v>77</v>
      </c>
      <c r="W162" s="55">
        <f t="shared" si="2"/>
        <v>46</v>
      </c>
      <c r="X162" s="55" t="s">
        <v>98</v>
      </c>
      <c r="Y162" s="55" t="s">
        <v>428</v>
      </c>
      <c r="Z162" s="55" t="s">
        <v>2350</v>
      </c>
      <c r="AA162" s="58" t="s">
        <v>2351</v>
      </c>
      <c r="AB162" s="58" t="s">
        <v>2352</v>
      </c>
      <c r="AC162" s="55"/>
      <c r="AD162" s="55" t="s">
        <v>2353</v>
      </c>
      <c r="AE162" s="55" t="s">
        <v>2354</v>
      </c>
    </row>
    <row r="163" ht="21.0" customHeight="1">
      <c r="A163" s="103">
        <v>162.0</v>
      </c>
      <c r="B163" s="85" t="s">
        <v>106</v>
      </c>
      <c r="C163" s="83" t="s">
        <v>2355</v>
      </c>
      <c r="D163" s="86" t="s">
        <v>2356</v>
      </c>
      <c r="E163" s="37" t="str">
        <f t="shared" si="1"/>
        <v>จ.ส.อ. ปริญญา จุนทวิเทศ</v>
      </c>
      <c r="F163" s="82" t="s">
        <v>111</v>
      </c>
      <c r="G163" s="83" t="s">
        <v>2357</v>
      </c>
      <c r="H163" s="86" t="s">
        <v>2358</v>
      </c>
      <c r="I163" s="39">
        <v>1.544602064E9</v>
      </c>
      <c r="J163" s="39">
        <v>1.459900348481E12</v>
      </c>
      <c r="K163" s="40" t="s">
        <v>2347</v>
      </c>
      <c r="L163" s="79" t="s">
        <v>2359</v>
      </c>
      <c r="M163" s="41" t="s">
        <v>901</v>
      </c>
      <c r="N163" s="39" t="s">
        <v>72</v>
      </c>
      <c r="O163" s="39" t="s">
        <v>2325</v>
      </c>
      <c r="P163" s="112">
        <v>6.539529E8</v>
      </c>
      <c r="Q163" s="113"/>
      <c r="R163" s="45" t="s">
        <v>50</v>
      </c>
      <c r="S163" s="45" t="s">
        <v>48</v>
      </c>
      <c r="T163" s="66" t="s">
        <v>2360</v>
      </c>
      <c r="U163" s="53">
        <v>34086.0</v>
      </c>
      <c r="V163" s="31" t="s">
        <v>77</v>
      </c>
      <c r="W163" s="55">
        <f t="shared" si="2"/>
        <v>33</v>
      </c>
      <c r="X163" s="55" t="s">
        <v>98</v>
      </c>
      <c r="Y163" s="55" t="s">
        <v>428</v>
      </c>
      <c r="Z163" s="55" t="s">
        <v>2361</v>
      </c>
      <c r="AA163" s="58" t="s">
        <v>2362</v>
      </c>
      <c r="AB163" s="58" t="s">
        <v>2363</v>
      </c>
      <c r="AC163" s="55"/>
      <c r="AD163" s="55" t="s">
        <v>2364</v>
      </c>
      <c r="AE163" s="55" t="s">
        <v>2365</v>
      </c>
    </row>
    <row r="164">
      <c r="A164" s="103">
        <v>163.0</v>
      </c>
      <c r="B164" s="85" t="s">
        <v>106</v>
      </c>
      <c r="C164" s="83" t="s">
        <v>2366</v>
      </c>
      <c r="D164" s="86" t="s">
        <v>2367</v>
      </c>
      <c r="E164" s="37" t="str">
        <f t="shared" si="1"/>
        <v>จ.ส.อ. วัฒนชัย นภาสกุล</v>
      </c>
      <c r="F164" s="82" t="s">
        <v>111</v>
      </c>
      <c r="G164" s="83" t="s">
        <v>2368</v>
      </c>
      <c r="H164" s="86" t="s">
        <v>2369</v>
      </c>
      <c r="I164" s="39">
        <v>1.472101479E9</v>
      </c>
      <c r="J164" s="39">
        <v>5.301490006603E12</v>
      </c>
      <c r="K164" s="40" t="s">
        <v>2370</v>
      </c>
      <c r="L164" s="29" t="s">
        <v>2371</v>
      </c>
      <c r="M164" s="41" t="s">
        <v>2372</v>
      </c>
      <c r="N164" s="39" t="s">
        <v>85</v>
      </c>
      <c r="O164" s="39" t="s">
        <v>2325</v>
      </c>
      <c r="P164" s="112">
        <v>8.22303991E8</v>
      </c>
      <c r="Q164" s="113"/>
      <c r="R164" s="45" t="s">
        <v>50</v>
      </c>
      <c r="S164" s="45" t="s">
        <v>48</v>
      </c>
      <c r="T164" s="66" t="s">
        <v>2373</v>
      </c>
      <c r="U164" s="53">
        <v>29624.0</v>
      </c>
      <c r="V164" s="31" t="s">
        <v>77</v>
      </c>
      <c r="W164" s="55">
        <f t="shared" si="2"/>
        <v>45</v>
      </c>
      <c r="X164" s="55" t="s">
        <v>98</v>
      </c>
      <c r="Y164" s="55" t="s">
        <v>428</v>
      </c>
      <c r="Z164" s="55" t="s">
        <v>2374</v>
      </c>
      <c r="AA164" s="58" t="s">
        <v>2375</v>
      </c>
      <c r="AB164" s="58" t="s">
        <v>2376</v>
      </c>
      <c r="AC164" s="55"/>
      <c r="AD164" s="55" t="s">
        <v>2377</v>
      </c>
      <c r="AE164" s="55" t="s">
        <v>2378</v>
      </c>
    </row>
    <row r="165">
      <c r="A165" s="103">
        <v>164.0</v>
      </c>
      <c r="B165" s="85" t="s">
        <v>106</v>
      </c>
      <c r="C165" s="83" t="s">
        <v>2379</v>
      </c>
      <c r="D165" s="86" t="s">
        <v>2380</v>
      </c>
      <c r="E165" s="37" t="str">
        <f t="shared" si="1"/>
        <v>จ.ส.อ. เกรียงไกร ปัตตนาโถ</v>
      </c>
      <c r="F165" s="82" t="s">
        <v>111</v>
      </c>
      <c r="G165" s="83" t="s">
        <v>2381</v>
      </c>
      <c r="H165" s="86" t="s">
        <v>2382</v>
      </c>
      <c r="I165" s="39">
        <v>1.461000384E9</v>
      </c>
      <c r="J165" s="39">
        <v>3.670500293243E12</v>
      </c>
      <c r="K165" s="40" t="s">
        <v>2370</v>
      </c>
      <c r="L165" s="29" t="s">
        <v>2383</v>
      </c>
      <c r="M165" s="41" t="s">
        <v>843</v>
      </c>
      <c r="N165" s="39" t="s">
        <v>72</v>
      </c>
      <c r="O165" s="39" t="s">
        <v>2325</v>
      </c>
      <c r="P165" s="112">
        <v>6.43353149E8</v>
      </c>
      <c r="Q165" s="113"/>
      <c r="R165" s="45" t="s">
        <v>50</v>
      </c>
      <c r="S165" s="45" t="s">
        <v>48</v>
      </c>
      <c r="T165" s="66" t="s">
        <v>2384</v>
      </c>
      <c r="U165" s="53">
        <v>30515.0</v>
      </c>
      <c r="V165" s="31" t="s">
        <v>77</v>
      </c>
      <c r="W165" s="55">
        <f t="shared" si="2"/>
        <v>43</v>
      </c>
      <c r="X165" s="55" t="s">
        <v>98</v>
      </c>
      <c r="Y165" s="55" t="s">
        <v>428</v>
      </c>
      <c r="Z165" s="55" t="s">
        <v>2385</v>
      </c>
      <c r="AA165" s="58" t="s">
        <v>2386</v>
      </c>
      <c r="AB165" s="58" t="s">
        <v>2387</v>
      </c>
      <c r="AC165" s="55"/>
      <c r="AD165" s="55" t="s">
        <v>2388</v>
      </c>
      <c r="AE165" s="55" t="s">
        <v>2389</v>
      </c>
    </row>
    <row r="166" ht="21.0" customHeight="1">
      <c r="A166" s="33">
        <v>165.0</v>
      </c>
      <c r="B166" s="34" t="s">
        <v>135</v>
      </c>
      <c r="C166" s="35" t="s">
        <v>567</v>
      </c>
      <c r="D166" s="36" t="s">
        <v>568</v>
      </c>
      <c r="E166" s="37" t="str">
        <f t="shared" si="1"/>
        <v>ร.ท. เอกพล เมฆประสาท</v>
      </c>
      <c r="F166" s="24" t="s">
        <v>80</v>
      </c>
      <c r="G166" s="35" t="s">
        <v>569</v>
      </c>
      <c r="H166" s="36" t="s">
        <v>570</v>
      </c>
      <c r="I166" s="121">
        <v>1.405400448E9</v>
      </c>
      <c r="J166" s="121">
        <v>3.331001047216E12</v>
      </c>
      <c r="K166" s="122" t="s">
        <v>576</v>
      </c>
      <c r="L166" s="123" t="s">
        <v>581</v>
      </c>
      <c r="M166" s="211" t="s">
        <v>2390</v>
      </c>
      <c r="N166" s="121" t="s">
        <v>188</v>
      </c>
      <c r="O166" s="39" t="s">
        <v>27</v>
      </c>
      <c r="P166" s="125">
        <v>9.39921728E8</v>
      </c>
      <c r="Q166" s="126"/>
      <c r="R166" s="127" t="s">
        <v>52</v>
      </c>
      <c r="S166" s="45" t="s">
        <v>48</v>
      </c>
      <c r="T166" s="66" t="s">
        <v>2391</v>
      </c>
      <c r="U166" s="53">
        <v>28741.0</v>
      </c>
      <c r="V166" s="31" t="s">
        <v>77</v>
      </c>
      <c r="W166" s="55">
        <f t="shared" si="2"/>
        <v>48</v>
      </c>
      <c r="X166" s="55" t="s">
        <v>98</v>
      </c>
      <c r="Y166" s="55" t="s">
        <v>99</v>
      </c>
      <c r="Z166" s="55" t="s">
        <v>980</v>
      </c>
      <c r="AA166" s="114" t="s">
        <v>2392</v>
      </c>
      <c r="AB166" s="58" t="s">
        <v>2393</v>
      </c>
      <c r="AC166" s="55"/>
      <c r="AD166" s="55" t="s">
        <v>2394</v>
      </c>
      <c r="AE166" s="55" t="s">
        <v>2395</v>
      </c>
    </row>
    <row r="167">
      <c r="A167" s="33">
        <v>166.0</v>
      </c>
      <c r="B167" s="34" t="s">
        <v>106</v>
      </c>
      <c r="C167" s="35" t="s">
        <v>2396</v>
      </c>
      <c r="D167" s="36" t="s">
        <v>2397</v>
      </c>
      <c r="E167" s="37" t="str">
        <f t="shared" si="1"/>
        <v>จ.ส.อ. อมรเทพ ดีสุวรรณ</v>
      </c>
      <c r="F167" s="63" t="s">
        <v>111</v>
      </c>
      <c r="G167" s="35" t="s">
        <v>2398</v>
      </c>
      <c r="H167" s="36" t="s">
        <v>2399</v>
      </c>
      <c r="I167" s="121">
        <v>1.456100338E9</v>
      </c>
      <c r="J167" s="121">
        <v>3.190100384807E12</v>
      </c>
      <c r="K167" s="122" t="s">
        <v>2400</v>
      </c>
      <c r="L167" s="123" t="s">
        <v>2401</v>
      </c>
      <c r="M167" s="41" t="s">
        <v>2402</v>
      </c>
      <c r="N167" s="121" t="s">
        <v>188</v>
      </c>
      <c r="O167" s="39" t="s">
        <v>27</v>
      </c>
      <c r="P167" s="134">
        <v>6.56757474E8</v>
      </c>
      <c r="Q167" s="126"/>
      <c r="R167" s="127" t="s">
        <v>52</v>
      </c>
      <c r="S167" s="45" t="s">
        <v>48</v>
      </c>
      <c r="T167" s="66" t="s">
        <v>2403</v>
      </c>
      <c r="U167" s="53">
        <v>30514.0</v>
      </c>
      <c r="V167" s="31" t="s">
        <v>77</v>
      </c>
      <c r="W167" s="55">
        <f t="shared" si="2"/>
        <v>43</v>
      </c>
      <c r="X167" s="55" t="s">
        <v>98</v>
      </c>
      <c r="Y167" s="55" t="s">
        <v>428</v>
      </c>
      <c r="Z167" s="55" t="s">
        <v>2404</v>
      </c>
      <c r="AA167" s="58" t="s">
        <v>2405</v>
      </c>
      <c r="AB167" s="58" t="s">
        <v>2406</v>
      </c>
      <c r="AC167" s="55"/>
      <c r="AD167" s="55" t="s">
        <v>2407</v>
      </c>
      <c r="AE167" s="55" t="s">
        <v>2408</v>
      </c>
    </row>
    <row r="168">
      <c r="A168" s="33">
        <v>167.0</v>
      </c>
      <c r="B168" s="34" t="s">
        <v>2409</v>
      </c>
      <c r="C168" s="35" t="s">
        <v>2410</v>
      </c>
      <c r="D168" s="36" t="s">
        <v>2411</v>
      </c>
      <c r="E168" s="37" t="str">
        <f t="shared" si="1"/>
        <v>พ.อ.อ. ทิชากร พึ่งพันธ์</v>
      </c>
      <c r="F168" s="63" t="s">
        <v>2412</v>
      </c>
      <c r="G168" s="35" t="s">
        <v>2413</v>
      </c>
      <c r="H168" s="36" t="s">
        <v>2414</v>
      </c>
      <c r="I168" s="121">
        <v>3.523300558E9</v>
      </c>
      <c r="J168" s="121">
        <v>1.100500583894E12</v>
      </c>
      <c r="K168" s="122" t="s">
        <v>2415</v>
      </c>
      <c r="L168" s="123" t="s">
        <v>2416</v>
      </c>
      <c r="M168" s="41" t="s">
        <v>2417</v>
      </c>
      <c r="N168" s="121" t="s">
        <v>155</v>
      </c>
      <c r="O168" s="39" t="s">
        <v>27</v>
      </c>
      <c r="P168" s="125">
        <v>9.91656319E8</v>
      </c>
      <c r="Q168" s="126"/>
      <c r="R168" s="127" t="s">
        <v>52</v>
      </c>
      <c r="S168" s="45" t="s">
        <v>48</v>
      </c>
      <c r="T168" s="66" t="s">
        <v>2418</v>
      </c>
      <c r="U168" s="53">
        <v>33385.0</v>
      </c>
      <c r="V168" s="157" t="s">
        <v>203</v>
      </c>
      <c r="W168" s="55">
        <f t="shared" si="2"/>
        <v>35</v>
      </c>
      <c r="X168" s="55" t="s">
        <v>98</v>
      </c>
      <c r="Y168" s="55" t="s">
        <v>428</v>
      </c>
      <c r="Z168" s="55" t="s">
        <v>1947</v>
      </c>
      <c r="AA168" s="114" t="s">
        <v>2419</v>
      </c>
      <c r="AB168" s="58" t="s">
        <v>2420</v>
      </c>
      <c r="AC168" s="55"/>
      <c r="AD168" s="55" t="s">
        <v>2421</v>
      </c>
      <c r="AE168" s="55" t="s">
        <v>2422</v>
      </c>
    </row>
    <row r="169">
      <c r="A169" s="33">
        <v>168.0</v>
      </c>
      <c r="B169" s="118" t="s">
        <v>2423</v>
      </c>
      <c r="C169" s="26" t="s">
        <v>2424</v>
      </c>
      <c r="D169" s="29" t="s">
        <v>2425</v>
      </c>
      <c r="E169" s="37" t="str">
        <f t="shared" si="1"/>
        <v>พ.จ.อ.หญิง ศิรินภา เรือนศักดิ์</v>
      </c>
      <c r="F169" s="24" t="s">
        <v>2426</v>
      </c>
      <c r="G169" s="26" t="s">
        <v>2427</v>
      </c>
      <c r="H169" s="29" t="s">
        <v>2428</v>
      </c>
      <c r="I169" s="121">
        <v>7.491050038E9</v>
      </c>
      <c r="J169" s="121">
        <v>1.549900081939E12</v>
      </c>
      <c r="K169" s="122" t="s">
        <v>2429</v>
      </c>
      <c r="L169" s="147" t="s">
        <v>2430</v>
      </c>
      <c r="M169" s="41" t="s">
        <v>2431</v>
      </c>
      <c r="N169" s="77" t="s">
        <v>188</v>
      </c>
      <c r="O169" s="39" t="s">
        <v>27</v>
      </c>
      <c r="P169" s="134">
        <v>9.89747174E8</v>
      </c>
      <c r="Q169" s="43"/>
      <c r="R169" s="127" t="s">
        <v>52</v>
      </c>
      <c r="S169" s="45" t="s">
        <v>48</v>
      </c>
      <c r="T169" s="66" t="s">
        <v>2432</v>
      </c>
      <c r="U169" s="53">
        <v>31503.0</v>
      </c>
      <c r="V169" s="31" t="s">
        <v>77</v>
      </c>
      <c r="W169" s="55">
        <f t="shared" si="2"/>
        <v>40</v>
      </c>
      <c r="X169" s="55" t="s">
        <v>229</v>
      </c>
      <c r="Y169" s="55" t="s">
        <v>428</v>
      </c>
      <c r="Z169" s="55" t="s">
        <v>2433</v>
      </c>
      <c r="AA169" s="58" t="s">
        <v>2434</v>
      </c>
      <c r="AB169" s="58" t="s">
        <v>2435</v>
      </c>
      <c r="AC169" s="55"/>
      <c r="AD169" s="55" t="s">
        <v>2436</v>
      </c>
      <c r="AE169" s="55" t="s">
        <v>2437</v>
      </c>
    </row>
    <row r="170">
      <c r="A170" s="33">
        <v>169.0</v>
      </c>
      <c r="B170" s="74" t="s">
        <v>264</v>
      </c>
      <c r="C170" s="35" t="s">
        <v>2438</v>
      </c>
      <c r="D170" s="36" t="s">
        <v>2439</v>
      </c>
      <c r="E170" s="37" t="str">
        <f t="shared" si="1"/>
        <v>จ.ส.อ.หญิง จันทร์จิรา อาจหาญ</v>
      </c>
      <c r="F170" s="63" t="s">
        <v>111</v>
      </c>
      <c r="G170" s="35" t="s">
        <v>2440</v>
      </c>
      <c r="H170" s="36" t="s">
        <v>2441</v>
      </c>
      <c r="I170" s="121">
        <v>6.591050354E9</v>
      </c>
      <c r="J170" s="121">
        <v>1.841500157393E12</v>
      </c>
      <c r="K170" s="131" t="s">
        <v>2429</v>
      </c>
      <c r="L170" s="123" t="s">
        <v>2442</v>
      </c>
      <c r="M170" s="41" t="s">
        <v>2443</v>
      </c>
      <c r="N170" s="121" t="s">
        <v>72</v>
      </c>
      <c r="O170" s="39" t="s">
        <v>27</v>
      </c>
      <c r="P170" s="134">
        <v>9.85459542E8</v>
      </c>
      <c r="Q170" s="43"/>
      <c r="R170" s="127" t="s">
        <v>52</v>
      </c>
      <c r="S170" s="45" t="s">
        <v>48</v>
      </c>
      <c r="T170" s="66" t="s">
        <v>2444</v>
      </c>
      <c r="U170" s="53">
        <v>35538.0</v>
      </c>
      <c r="V170" s="31" t="s">
        <v>77</v>
      </c>
      <c r="W170" s="55">
        <f t="shared" si="2"/>
        <v>29</v>
      </c>
      <c r="X170" s="55" t="s">
        <v>229</v>
      </c>
      <c r="Y170" s="55" t="s">
        <v>428</v>
      </c>
      <c r="Z170" s="55" t="s">
        <v>2445</v>
      </c>
      <c r="AA170" s="58" t="s">
        <v>2446</v>
      </c>
      <c r="AB170" s="58" t="s">
        <v>2447</v>
      </c>
      <c r="AC170" s="55"/>
      <c r="AD170" s="55" t="s">
        <v>2448</v>
      </c>
      <c r="AE170" s="55" t="s">
        <v>2449</v>
      </c>
    </row>
    <row r="171">
      <c r="A171" s="33">
        <v>170.0</v>
      </c>
      <c r="B171" s="34" t="s">
        <v>552</v>
      </c>
      <c r="C171" s="35" t="s">
        <v>2450</v>
      </c>
      <c r="D171" s="36" t="s">
        <v>2451</v>
      </c>
      <c r="E171" s="37" t="str">
        <f t="shared" si="1"/>
        <v>ส.อ.หญิง เจนจิรา กล่อมเกษม</v>
      </c>
      <c r="F171" s="82" t="s">
        <v>353</v>
      </c>
      <c r="G171" s="35" t="s">
        <v>2440</v>
      </c>
      <c r="H171" s="36" t="s">
        <v>2452</v>
      </c>
      <c r="I171" s="121">
        <v>6.561050036E9</v>
      </c>
      <c r="J171" s="121">
        <v>1.100702034247E12</v>
      </c>
      <c r="K171" s="131" t="s">
        <v>2429</v>
      </c>
      <c r="L171" s="123" t="s">
        <v>2453</v>
      </c>
      <c r="M171" s="41" t="s">
        <v>2454</v>
      </c>
      <c r="N171" s="48" t="s">
        <v>155</v>
      </c>
      <c r="O171" s="39" t="s">
        <v>27</v>
      </c>
      <c r="P171" s="134">
        <v>8.25778293E8</v>
      </c>
      <c r="Q171" s="126"/>
      <c r="R171" s="127" t="s">
        <v>52</v>
      </c>
      <c r="S171" s="45" t="s">
        <v>48</v>
      </c>
      <c r="T171" s="66" t="s">
        <v>2455</v>
      </c>
      <c r="U171" s="53">
        <v>34700.0</v>
      </c>
      <c r="V171" s="31" t="s">
        <v>77</v>
      </c>
      <c r="W171" s="55">
        <f t="shared" si="2"/>
        <v>31</v>
      </c>
      <c r="X171" s="55" t="s">
        <v>229</v>
      </c>
      <c r="Y171" s="55" t="s">
        <v>428</v>
      </c>
      <c r="Z171" s="55" t="s">
        <v>2456</v>
      </c>
      <c r="AA171" s="58" t="s">
        <v>2457</v>
      </c>
      <c r="AB171" s="58" t="s">
        <v>2458</v>
      </c>
      <c r="AC171" s="55"/>
      <c r="AD171" s="55" t="s">
        <v>2459</v>
      </c>
      <c r="AE171" s="55" t="s">
        <v>2460</v>
      </c>
    </row>
    <row r="172">
      <c r="A172" s="33">
        <v>171.0</v>
      </c>
      <c r="B172" s="171" t="s">
        <v>2461</v>
      </c>
      <c r="C172" s="26" t="s">
        <v>2462</v>
      </c>
      <c r="D172" s="29" t="s">
        <v>2463</v>
      </c>
      <c r="E172" s="37" t="str">
        <f t="shared" si="1"/>
        <v>จ.อ.หญิง ลดาวัลย์ จันทะนูศร</v>
      </c>
      <c r="F172" s="98" t="s">
        <v>353</v>
      </c>
      <c r="G172" s="26" t="s">
        <v>2464</v>
      </c>
      <c r="H172" s="29" t="s">
        <v>2465</v>
      </c>
      <c r="I172" s="150">
        <v>8.621050255E9</v>
      </c>
      <c r="J172" s="150">
        <v>1.960200102249E12</v>
      </c>
      <c r="K172" s="131" t="s">
        <v>2429</v>
      </c>
      <c r="L172" s="148" t="s">
        <v>2466</v>
      </c>
      <c r="M172" s="41" t="s">
        <v>2467</v>
      </c>
      <c r="N172" s="150" t="s">
        <v>155</v>
      </c>
      <c r="O172" s="39" t="s">
        <v>27</v>
      </c>
      <c r="P172" s="42">
        <v>8.31964402E8</v>
      </c>
      <c r="Q172" s="43"/>
      <c r="R172" s="127" t="s">
        <v>52</v>
      </c>
      <c r="S172" s="45" t="s">
        <v>48</v>
      </c>
      <c r="T172" s="66" t="s">
        <v>2468</v>
      </c>
      <c r="U172" s="53">
        <v>34151.0</v>
      </c>
      <c r="V172" s="31" t="s">
        <v>77</v>
      </c>
      <c r="W172" s="55">
        <f t="shared" si="2"/>
        <v>33</v>
      </c>
      <c r="X172" s="55" t="s">
        <v>229</v>
      </c>
      <c r="Y172" s="55" t="s">
        <v>428</v>
      </c>
      <c r="Z172" s="55" t="s">
        <v>2469</v>
      </c>
      <c r="AA172" s="58" t="s">
        <v>2470</v>
      </c>
      <c r="AB172" s="58" t="s">
        <v>2471</v>
      </c>
      <c r="AC172" s="55"/>
      <c r="AD172" s="55" t="s">
        <v>2472</v>
      </c>
      <c r="AE172" s="55" t="s">
        <v>2473</v>
      </c>
    </row>
    <row r="173">
      <c r="A173" s="33">
        <v>172.0</v>
      </c>
      <c r="B173" s="171" t="s">
        <v>552</v>
      </c>
      <c r="C173" s="26" t="s">
        <v>2474</v>
      </c>
      <c r="D173" s="29" t="s">
        <v>2475</v>
      </c>
      <c r="E173" s="37" t="str">
        <f t="shared" si="1"/>
        <v>ส.อ.หญิง กนกกร ทองบ่อ</v>
      </c>
      <c r="F173" s="98" t="s">
        <v>353</v>
      </c>
      <c r="G173" s="26" t="s">
        <v>2476</v>
      </c>
      <c r="H173" s="29" t="s">
        <v>2477</v>
      </c>
      <c r="I173" s="150">
        <v>6.65105008E9</v>
      </c>
      <c r="J173" s="150">
        <v>1.340800062863E12</v>
      </c>
      <c r="K173" s="131" t="s">
        <v>2478</v>
      </c>
      <c r="L173" s="142" t="s">
        <v>2479</v>
      </c>
      <c r="M173" s="41" t="s">
        <v>2480</v>
      </c>
      <c r="N173" s="150" t="s">
        <v>155</v>
      </c>
      <c r="O173" s="39" t="s">
        <v>27</v>
      </c>
      <c r="P173" s="42">
        <v>6.33522455E8</v>
      </c>
      <c r="Q173" s="43"/>
      <c r="R173" s="127" t="s">
        <v>52</v>
      </c>
      <c r="S173" s="45" t="s">
        <v>48</v>
      </c>
      <c r="T173" s="66" t="s">
        <v>2481</v>
      </c>
      <c r="U173" s="53">
        <v>32811.0</v>
      </c>
      <c r="V173" s="31" t="s">
        <v>77</v>
      </c>
      <c r="W173" s="55">
        <f t="shared" si="2"/>
        <v>36</v>
      </c>
      <c r="X173" s="55" t="s">
        <v>229</v>
      </c>
      <c r="Y173" s="55" t="s">
        <v>428</v>
      </c>
      <c r="Z173" s="55" t="s">
        <v>2482</v>
      </c>
      <c r="AA173" s="58" t="s">
        <v>2483</v>
      </c>
      <c r="AB173" s="58" t="s">
        <v>2484</v>
      </c>
      <c r="AC173" s="55"/>
      <c r="AD173" s="55" t="s">
        <v>2485</v>
      </c>
      <c r="AE173" s="55" t="s">
        <v>2486</v>
      </c>
    </row>
    <row r="174" ht="20.25" customHeight="1">
      <c r="A174" s="33">
        <v>173.0</v>
      </c>
      <c r="B174" s="74" t="s">
        <v>135</v>
      </c>
      <c r="C174" s="35" t="s">
        <v>610</v>
      </c>
      <c r="D174" s="36" t="s">
        <v>611</v>
      </c>
      <c r="E174" s="37" t="str">
        <f t="shared" si="1"/>
        <v>ร.ท. สหภาพ แววงาม</v>
      </c>
      <c r="F174" s="75" t="s">
        <v>80</v>
      </c>
      <c r="G174" s="35" t="s">
        <v>615</v>
      </c>
      <c r="H174" s="36" t="s">
        <v>616</v>
      </c>
      <c r="I174" s="121">
        <v>1.542402607E9</v>
      </c>
      <c r="J174" s="121">
        <v>1.103700514015E12</v>
      </c>
      <c r="K174" s="131" t="s">
        <v>618</v>
      </c>
      <c r="L174" s="132" t="s">
        <v>619</v>
      </c>
      <c r="M174" s="41" t="s">
        <v>2487</v>
      </c>
      <c r="N174" s="121" t="s">
        <v>72</v>
      </c>
      <c r="O174" s="39" t="s">
        <v>27</v>
      </c>
      <c r="P174" s="134">
        <v>8.92275449E8</v>
      </c>
      <c r="Q174" s="126"/>
      <c r="R174" s="127" t="s">
        <v>52</v>
      </c>
      <c r="S174" s="45" t="s">
        <v>48</v>
      </c>
      <c r="T174" s="66" t="s">
        <v>2488</v>
      </c>
      <c r="U174" s="53">
        <v>33437.0</v>
      </c>
      <c r="V174" s="31" t="s">
        <v>77</v>
      </c>
      <c r="W174" s="55">
        <f t="shared" si="2"/>
        <v>35</v>
      </c>
      <c r="X174" s="55" t="s">
        <v>98</v>
      </c>
      <c r="Y174" s="55" t="s">
        <v>99</v>
      </c>
      <c r="Z174" s="55" t="s">
        <v>2489</v>
      </c>
      <c r="AA174" s="58" t="s">
        <v>2490</v>
      </c>
      <c r="AB174" s="58" t="s">
        <v>2491</v>
      </c>
      <c r="AC174" s="55"/>
      <c r="AD174" s="55" t="s">
        <v>2492</v>
      </c>
      <c r="AE174" s="55" t="s">
        <v>2493</v>
      </c>
    </row>
    <row r="175">
      <c r="A175" s="33">
        <v>174.0</v>
      </c>
      <c r="B175" s="171" t="s">
        <v>264</v>
      </c>
      <c r="C175" s="26" t="s">
        <v>2494</v>
      </c>
      <c r="D175" s="29" t="s">
        <v>2495</v>
      </c>
      <c r="E175" s="37" t="str">
        <f t="shared" si="1"/>
        <v>จ.ส.อ.หญิง ภัทราวดี ปานเกิด</v>
      </c>
      <c r="F175" s="98" t="s">
        <v>111</v>
      </c>
      <c r="G175" s="26" t="s">
        <v>2496</v>
      </c>
      <c r="H175" s="29" t="s">
        <v>2497</v>
      </c>
      <c r="I175" s="121">
        <v>6.561050938E9</v>
      </c>
      <c r="J175" s="121">
        <v>1.600100056957E12</v>
      </c>
      <c r="K175" s="131" t="s">
        <v>2498</v>
      </c>
      <c r="L175" s="147" t="s">
        <v>2499</v>
      </c>
      <c r="M175" s="41" t="s">
        <v>2500</v>
      </c>
      <c r="N175" s="77" t="s">
        <v>85</v>
      </c>
      <c r="O175" s="39" t="s">
        <v>27</v>
      </c>
      <c r="P175" s="42">
        <v>8.19711561E8</v>
      </c>
      <c r="Q175" s="43"/>
      <c r="R175" s="127" t="s">
        <v>52</v>
      </c>
      <c r="S175" s="45" t="s">
        <v>48</v>
      </c>
      <c r="T175" s="66" t="s">
        <v>2501</v>
      </c>
      <c r="U175" s="53">
        <v>31111.0</v>
      </c>
      <c r="V175" s="31" t="s">
        <v>77</v>
      </c>
      <c r="W175" s="55">
        <f t="shared" si="2"/>
        <v>41</v>
      </c>
      <c r="X175" s="55" t="s">
        <v>229</v>
      </c>
      <c r="Y175" s="55" t="s">
        <v>428</v>
      </c>
      <c r="Z175" s="55" t="s">
        <v>2502</v>
      </c>
      <c r="AA175" s="58" t="s">
        <v>2503</v>
      </c>
      <c r="AB175" s="58" t="s">
        <v>2504</v>
      </c>
      <c r="AC175" s="55"/>
      <c r="AD175" s="55" t="s">
        <v>2505</v>
      </c>
      <c r="AE175" s="55" t="s">
        <v>2506</v>
      </c>
    </row>
    <row r="176">
      <c r="A176" s="33">
        <v>175.0</v>
      </c>
      <c r="B176" s="74" t="s">
        <v>264</v>
      </c>
      <c r="C176" s="35" t="s">
        <v>2507</v>
      </c>
      <c r="D176" s="36" t="s">
        <v>2508</v>
      </c>
      <c r="E176" s="37" t="str">
        <f t="shared" si="1"/>
        <v>จ.ส.อ.หญิง วิมลพรรณ แย้มสำรวล</v>
      </c>
      <c r="F176" s="75" t="s">
        <v>111</v>
      </c>
      <c r="G176" s="35" t="s">
        <v>2509</v>
      </c>
      <c r="H176" s="36" t="s">
        <v>2510</v>
      </c>
      <c r="I176" s="121">
        <v>6.601050257E9</v>
      </c>
      <c r="J176" s="121">
        <v>1.179900323286E12</v>
      </c>
      <c r="K176" s="122" t="s">
        <v>2498</v>
      </c>
      <c r="L176" s="123" t="s">
        <v>2511</v>
      </c>
      <c r="M176" s="41" t="s">
        <v>2512</v>
      </c>
      <c r="N176" s="121" t="s">
        <v>85</v>
      </c>
      <c r="O176" s="39" t="s">
        <v>27</v>
      </c>
      <c r="P176" s="42">
        <v>9.2620145E8</v>
      </c>
      <c r="Q176" s="43"/>
      <c r="R176" s="127" t="s">
        <v>52</v>
      </c>
      <c r="S176" s="45" t="s">
        <v>48</v>
      </c>
      <c r="T176" s="66" t="s">
        <v>2513</v>
      </c>
      <c r="U176" s="53">
        <v>35298.0</v>
      </c>
      <c r="V176" s="31" t="s">
        <v>77</v>
      </c>
      <c r="W176" s="55">
        <f t="shared" si="2"/>
        <v>30</v>
      </c>
      <c r="X176" s="55" t="s">
        <v>229</v>
      </c>
      <c r="Y176" s="55" t="s">
        <v>428</v>
      </c>
      <c r="Z176" s="55" t="s">
        <v>2514</v>
      </c>
      <c r="AA176" s="58" t="s">
        <v>2515</v>
      </c>
      <c r="AB176" s="58" t="s">
        <v>2516</v>
      </c>
      <c r="AC176" s="55"/>
      <c r="AD176" s="55" t="s">
        <v>2517</v>
      </c>
      <c r="AE176" s="55" t="s">
        <v>2518</v>
      </c>
    </row>
    <row r="177">
      <c r="A177" s="33">
        <v>176.0</v>
      </c>
      <c r="B177" s="171" t="s">
        <v>2461</v>
      </c>
      <c r="C177" s="26" t="s">
        <v>2519</v>
      </c>
      <c r="D177" s="29" t="s">
        <v>2520</v>
      </c>
      <c r="E177" s="37" t="str">
        <f t="shared" si="1"/>
        <v>จ.อ.หญิง นภาพรรณ อุณหพันธ์</v>
      </c>
      <c r="F177" s="98" t="s">
        <v>353</v>
      </c>
      <c r="G177" s="26" t="s">
        <v>2521</v>
      </c>
      <c r="H177" s="29" t="s">
        <v>2522</v>
      </c>
      <c r="I177" s="77">
        <v>8.621050217E9</v>
      </c>
      <c r="J177" s="77">
        <v>1.119900345956E12</v>
      </c>
      <c r="K177" s="122" t="s">
        <v>2498</v>
      </c>
      <c r="L177" s="50" t="s">
        <v>2523</v>
      </c>
      <c r="M177" s="41" t="s">
        <v>2524</v>
      </c>
      <c r="N177" s="39" t="s">
        <v>72</v>
      </c>
      <c r="O177" s="39" t="s">
        <v>27</v>
      </c>
      <c r="P177" s="42">
        <v>9.55254437E8</v>
      </c>
      <c r="Q177" s="43"/>
      <c r="R177" s="127" t="s">
        <v>52</v>
      </c>
      <c r="S177" s="45" t="s">
        <v>48</v>
      </c>
      <c r="T177" s="66" t="s">
        <v>2525</v>
      </c>
      <c r="U177" s="53">
        <v>33706.0</v>
      </c>
      <c r="V177" s="31" t="s">
        <v>77</v>
      </c>
      <c r="W177" s="55">
        <f t="shared" si="2"/>
        <v>34</v>
      </c>
      <c r="X177" s="55" t="s">
        <v>229</v>
      </c>
      <c r="Y177" s="55" t="s">
        <v>428</v>
      </c>
      <c r="Z177" s="55" t="s">
        <v>2526</v>
      </c>
      <c r="AA177" s="58" t="s">
        <v>2527</v>
      </c>
      <c r="AB177" s="58" t="s">
        <v>2528</v>
      </c>
      <c r="AC177" s="55"/>
      <c r="AD177" s="55" t="s">
        <v>2529</v>
      </c>
      <c r="AE177" s="55" t="s">
        <v>2530</v>
      </c>
    </row>
    <row r="178">
      <c r="A178" s="103">
        <v>177.0</v>
      </c>
      <c r="B178" s="85" t="s">
        <v>106</v>
      </c>
      <c r="C178" s="35" t="s">
        <v>2531</v>
      </c>
      <c r="D178" s="36" t="s">
        <v>2532</v>
      </c>
      <c r="E178" s="37" t="str">
        <f t="shared" si="1"/>
        <v>จ.ส.อ. เสกสรร ประวันตัง</v>
      </c>
      <c r="F178" s="63" t="s">
        <v>111</v>
      </c>
      <c r="G178" s="35" t="s">
        <v>2533</v>
      </c>
      <c r="H178" s="36" t="s">
        <v>2534</v>
      </c>
      <c r="I178" s="48">
        <v>1.380500218E9</v>
      </c>
      <c r="J178" s="48">
        <v>3.400700387731E12</v>
      </c>
      <c r="K178" s="122" t="s">
        <v>2108</v>
      </c>
      <c r="L178" s="36" t="s">
        <v>2535</v>
      </c>
      <c r="M178" s="41" t="s">
        <v>2536</v>
      </c>
      <c r="N178" s="48" t="s">
        <v>72</v>
      </c>
      <c r="O178" s="39" t="s">
        <v>73</v>
      </c>
      <c r="P178" s="42">
        <v>6.55374067E8</v>
      </c>
      <c r="Q178" s="43"/>
      <c r="R178" s="45" t="s">
        <v>53</v>
      </c>
      <c r="S178" s="45" t="s">
        <v>48</v>
      </c>
      <c r="T178" s="66" t="s">
        <v>2537</v>
      </c>
      <c r="U178" s="57">
        <v>27270.0</v>
      </c>
      <c r="V178" s="31" t="s">
        <v>77</v>
      </c>
      <c r="W178" s="55">
        <f t="shared" si="2"/>
        <v>52</v>
      </c>
      <c r="X178" s="55" t="s">
        <v>98</v>
      </c>
      <c r="Y178" s="55" t="s">
        <v>428</v>
      </c>
      <c r="Z178" s="55" t="s">
        <v>2538</v>
      </c>
      <c r="AA178" s="58" t="s">
        <v>2539</v>
      </c>
      <c r="AB178" s="58" t="s">
        <v>2540</v>
      </c>
      <c r="AC178" s="55"/>
      <c r="AD178" s="55" t="s">
        <v>2541</v>
      </c>
      <c r="AE178" s="55" t="s">
        <v>2542</v>
      </c>
    </row>
    <row r="179">
      <c r="A179" s="103">
        <v>178.0</v>
      </c>
      <c r="B179" s="85" t="s">
        <v>552</v>
      </c>
      <c r="C179" s="83" t="s">
        <v>2543</v>
      </c>
      <c r="D179" s="86" t="s">
        <v>2544</v>
      </c>
      <c r="E179" s="37" t="str">
        <f t="shared" si="1"/>
        <v>ส.อ.หญิง เอมิกา อารีย์รบ</v>
      </c>
      <c r="F179" s="82" t="s">
        <v>353</v>
      </c>
      <c r="G179" s="83" t="s">
        <v>2545</v>
      </c>
      <c r="H179" s="86" t="s">
        <v>2546</v>
      </c>
      <c r="I179" s="20">
        <v>6.611011454E9</v>
      </c>
      <c r="J179" s="20">
        <v>1.709900733322E12</v>
      </c>
      <c r="K179" s="122" t="s">
        <v>2547</v>
      </c>
      <c r="L179" s="29" t="s">
        <v>2548</v>
      </c>
      <c r="M179" s="41" t="s">
        <v>658</v>
      </c>
      <c r="N179" s="20" t="s">
        <v>155</v>
      </c>
      <c r="O179" s="39" t="s">
        <v>73</v>
      </c>
      <c r="P179" s="42">
        <v>9.08908868E8</v>
      </c>
      <c r="Q179" s="43"/>
      <c r="R179" s="45" t="s">
        <v>53</v>
      </c>
      <c r="S179" s="45" t="s">
        <v>48</v>
      </c>
      <c r="T179" s="66" t="s">
        <v>2549</v>
      </c>
      <c r="U179" s="53">
        <v>33823.0</v>
      </c>
      <c r="V179" s="31" t="s">
        <v>77</v>
      </c>
      <c r="W179" s="55">
        <f t="shared" si="2"/>
        <v>34</v>
      </c>
      <c r="X179" s="55" t="s">
        <v>229</v>
      </c>
      <c r="Y179" s="55" t="s">
        <v>428</v>
      </c>
      <c r="Z179" s="55" t="s">
        <v>2550</v>
      </c>
      <c r="AA179" s="58" t="s">
        <v>2551</v>
      </c>
      <c r="AB179" s="58" t="s">
        <v>2552</v>
      </c>
      <c r="AC179" s="55"/>
      <c r="AD179" s="55" t="s">
        <v>2553</v>
      </c>
      <c r="AE179" s="55" t="s">
        <v>2554</v>
      </c>
    </row>
    <row r="180">
      <c r="A180" s="103">
        <v>179.0</v>
      </c>
      <c r="B180" s="85" t="s">
        <v>106</v>
      </c>
      <c r="C180" s="83" t="s">
        <v>2555</v>
      </c>
      <c r="D180" s="86" t="s">
        <v>2556</v>
      </c>
      <c r="E180" s="37" t="str">
        <f t="shared" si="1"/>
        <v>จ.ส.อ. โสตถิเวทย์ วงษ์ทอง</v>
      </c>
      <c r="F180" s="82" t="s">
        <v>111</v>
      </c>
      <c r="G180" s="83" t="s">
        <v>2557</v>
      </c>
      <c r="H180" s="86" t="s">
        <v>2558</v>
      </c>
      <c r="I180" s="20">
        <v>1.444901159E9</v>
      </c>
      <c r="J180" s="20">
        <v>3.700100156035E12</v>
      </c>
      <c r="K180" s="122" t="s">
        <v>2559</v>
      </c>
      <c r="L180" s="29" t="s">
        <v>2560</v>
      </c>
      <c r="M180" s="41" t="s">
        <v>1695</v>
      </c>
      <c r="N180" s="20" t="s">
        <v>85</v>
      </c>
      <c r="O180" s="39" t="s">
        <v>73</v>
      </c>
      <c r="P180" s="42">
        <v>9.04459075E8</v>
      </c>
      <c r="Q180" s="43"/>
      <c r="R180" s="45" t="s">
        <v>53</v>
      </c>
      <c r="S180" s="45" t="s">
        <v>48</v>
      </c>
      <c r="T180" s="66" t="s">
        <v>2561</v>
      </c>
      <c r="U180" s="53">
        <v>30352.0</v>
      </c>
      <c r="V180" s="31" t="s">
        <v>77</v>
      </c>
      <c r="W180" s="55">
        <f t="shared" si="2"/>
        <v>43</v>
      </c>
      <c r="X180" s="55" t="s">
        <v>98</v>
      </c>
      <c r="Y180" s="55" t="s">
        <v>428</v>
      </c>
      <c r="Z180" s="55" t="s">
        <v>2562</v>
      </c>
      <c r="AA180" s="58" t="s">
        <v>2563</v>
      </c>
      <c r="AB180" s="58" t="s">
        <v>2564</v>
      </c>
      <c r="AC180" s="55"/>
      <c r="AD180" s="55" t="s">
        <v>2565</v>
      </c>
      <c r="AE180" s="55" t="s">
        <v>2566</v>
      </c>
    </row>
    <row r="181">
      <c r="A181" s="103">
        <v>180.0</v>
      </c>
      <c r="B181" s="204" t="s">
        <v>398</v>
      </c>
      <c r="C181" s="83" t="s">
        <v>2567</v>
      </c>
      <c r="D181" s="86" t="s">
        <v>2568</v>
      </c>
      <c r="E181" s="37" t="str">
        <f t="shared" si="1"/>
        <v>จ.ส.ท. ธัชพล พนัสไพรพงศ์</v>
      </c>
      <c r="F181" s="99" t="s">
        <v>410</v>
      </c>
      <c r="G181" s="83" t="s">
        <v>2569</v>
      </c>
      <c r="H181" s="86" t="s">
        <v>2570</v>
      </c>
      <c r="I181" s="20">
        <v>1.471100666E9</v>
      </c>
      <c r="J181" s="20">
        <v>1.909800137335E12</v>
      </c>
      <c r="K181" s="108" t="s">
        <v>2559</v>
      </c>
      <c r="L181" s="29" t="s">
        <v>2571</v>
      </c>
      <c r="M181" s="41" t="s">
        <v>448</v>
      </c>
      <c r="N181" s="20" t="s">
        <v>72</v>
      </c>
      <c r="O181" s="39" t="s">
        <v>73</v>
      </c>
      <c r="P181" s="42">
        <v>8.64049299E8</v>
      </c>
      <c r="Q181" s="43"/>
      <c r="R181" s="45" t="s">
        <v>53</v>
      </c>
      <c r="S181" s="45" t="s">
        <v>48</v>
      </c>
      <c r="T181" s="66" t="s">
        <v>2572</v>
      </c>
      <c r="U181" s="53">
        <v>31516.0</v>
      </c>
      <c r="V181" s="31" t="s">
        <v>77</v>
      </c>
      <c r="W181" s="55">
        <f t="shared" si="2"/>
        <v>40</v>
      </c>
      <c r="X181" s="55" t="s">
        <v>98</v>
      </c>
      <c r="Y181" s="55" t="s">
        <v>428</v>
      </c>
      <c r="Z181" s="55" t="s">
        <v>1257</v>
      </c>
      <c r="AA181" s="58" t="s">
        <v>2573</v>
      </c>
      <c r="AB181" s="58" t="s">
        <v>2574</v>
      </c>
      <c r="AC181" s="55"/>
      <c r="AD181" s="55" t="s">
        <v>2575</v>
      </c>
      <c r="AE181" s="55" t="s">
        <v>2576</v>
      </c>
    </row>
    <row r="182">
      <c r="A182" s="103">
        <v>181.0</v>
      </c>
      <c r="B182" s="85" t="s">
        <v>349</v>
      </c>
      <c r="C182" s="83" t="s">
        <v>2577</v>
      </c>
      <c r="D182" s="86" t="s">
        <v>2578</v>
      </c>
      <c r="E182" s="37" t="str">
        <f t="shared" si="1"/>
        <v>ส.อ. ชยณัฐ ธรรมรักษากุล</v>
      </c>
      <c r="F182" s="82" t="s">
        <v>353</v>
      </c>
      <c r="G182" s="83" t="s">
        <v>2579</v>
      </c>
      <c r="H182" s="86" t="s">
        <v>2580</v>
      </c>
      <c r="I182" s="20">
        <v>1.584900293E9</v>
      </c>
      <c r="J182" s="20">
        <v>1.103701321342E12</v>
      </c>
      <c r="K182" s="122" t="s">
        <v>2581</v>
      </c>
      <c r="L182" s="29" t="s">
        <v>2582</v>
      </c>
      <c r="M182" s="41" t="s">
        <v>473</v>
      </c>
      <c r="N182" s="20" t="s">
        <v>72</v>
      </c>
      <c r="O182" s="39" t="s">
        <v>73</v>
      </c>
      <c r="P182" s="42">
        <v>6.38926169E8</v>
      </c>
      <c r="Q182" s="43"/>
      <c r="R182" s="45" t="s">
        <v>53</v>
      </c>
      <c r="S182" s="45" t="s">
        <v>48</v>
      </c>
      <c r="T182" s="66" t="s">
        <v>2583</v>
      </c>
      <c r="U182" s="57">
        <v>34385.0</v>
      </c>
      <c r="V182" s="31" t="s">
        <v>77</v>
      </c>
      <c r="W182" s="55">
        <f t="shared" si="2"/>
        <v>32</v>
      </c>
      <c r="X182" s="55" t="s">
        <v>98</v>
      </c>
      <c r="Y182" s="55" t="s">
        <v>428</v>
      </c>
      <c r="Z182" s="55" t="s">
        <v>2584</v>
      </c>
      <c r="AA182" s="58" t="s">
        <v>2585</v>
      </c>
      <c r="AB182" s="58" t="s">
        <v>2586</v>
      </c>
      <c r="AC182" s="55"/>
      <c r="AD182" s="55" t="s">
        <v>2587</v>
      </c>
      <c r="AE182" s="55" t="s">
        <v>2588</v>
      </c>
    </row>
    <row r="183">
      <c r="A183" s="103">
        <v>182.0</v>
      </c>
      <c r="B183" s="85" t="s">
        <v>349</v>
      </c>
      <c r="C183" s="83" t="s">
        <v>2589</v>
      </c>
      <c r="D183" s="86" t="s">
        <v>2590</v>
      </c>
      <c r="E183" s="37" t="str">
        <f t="shared" si="1"/>
        <v>ส.อ. จักรพงค์ ก้อนเพชร</v>
      </c>
      <c r="F183" s="82" t="s">
        <v>353</v>
      </c>
      <c r="G183" s="83" t="s">
        <v>2591</v>
      </c>
      <c r="H183" s="86" t="s">
        <v>2592</v>
      </c>
      <c r="I183" s="20">
        <v>1.60330312E9</v>
      </c>
      <c r="J183" s="20">
        <v>1.104200091299E12</v>
      </c>
      <c r="K183" s="122" t="s">
        <v>2593</v>
      </c>
      <c r="L183" s="29" t="s">
        <v>2594</v>
      </c>
      <c r="M183" s="41" t="s">
        <v>473</v>
      </c>
      <c r="N183" s="20" t="s">
        <v>72</v>
      </c>
      <c r="O183" s="39" t="s">
        <v>73</v>
      </c>
      <c r="P183" s="42">
        <v>9.69939731E8</v>
      </c>
      <c r="Q183" s="43"/>
      <c r="R183" s="45" t="s">
        <v>53</v>
      </c>
      <c r="S183" s="45" t="s">
        <v>48</v>
      </c>
      <c r="T183" s="66" t="s">
        <v>2595</v>
      </c>
      <c r="U183" s="53">
        <v>36270.0</v>
      </c>
      <c r="V183" s="31" t="s">
        <v>77</v>
      </c>
      <c r="W183" s="55">
        <f t="shared" si="2"/>
        <v>27</v>
      </c>
      <c r="X183" s="55" t="s">
        <v>98</v>
      </c>
      <c r="Y183" s="55" t="s">
        <v>428</v>
      </c>
      <c r="Z183" s="55" t="s">
        <v>2596</v>
      </c>
      <c r="AA183" s="58" t="s">
        <v>2597</v>
      </c>
      <c r="AB183" s="58" t="s">
        <v>2598</v>
      </c>
      <c r="AC183" s="55"/>
      <c r="AD183" s="55" t="s">
        <v>2599</v>
      </c>
      <c r="AE183" s="55" t="s">
        <v>2600</v>
      </c>
    </row>
    <row r="184">
      <c r="A184" s="103">
        <v>183.0</v>
      </c>
      <c r="B184" s="85" t="s">
        <v>106</v>
      </c>
      <c r="C184" s="83" t="s">
        <v>2601</v>
      </c>
      <c r="D184" s="86" t="s">
        <v>2602</v>
      </c>
      <c r="E184" s="37" t="str">
        <f t="shared" si="1"/>
        <v>จ.ส.อ. ชัยณรงค์ ปัทมศรีสกุล</v>
      </c>
      <c r="F184" s="82" t="s">
        <v>111</v>
      </c>
      <c r="G184" s="83" t="s">
        <v>2603</v>
      </c>
      <c r="H184" s="86" t="s">
        <v>2604</v>
      </c>
      <c r="I184" s="20">
        <v>1.520503877E9</v>
      </c>
      <c r="J184" s="20">
        <v>1.40990059337E12</v>
      </c>
      <c r="K184" s="122" t="s">
        <v>2593</v>
      </c>
      <c r="L184" s="29" t="s">
        <v>2605</v>
      </c>
      <c r="M184" s="41" t="s">
        <v>1536</v>
      </c>
      <c r="N184" s="20" t="s">
        <v>85</v>
      </c>
      <c r="O184" s="39" t="s">
        <v>73</v>
      </c>
      <c r="P184" s="42">
        <v>9.2694159E8</v>
      </c>
      <c r="Q184" s="43"/>
      <c r="R184" s="45" t="s">
        <v>53</v>
      </c>
      <c r="S184" s="45" t="s">
        <v>48</v>
      </c>
      <c r="T184" s="66" t="s">
        <v>2606</v>
      </c>
      <c r="U184" s="57">
        <v>32762.0</v>
      </c>
      <c r="V184" s="31" t="s">
        <v>77</v>
      </c>
      <c r="W184" s="55">
        <f t="shared" si="2"/>
        <v>37</v>
      </c>
      <c r="X184" s="55" t="s">
        <v>98</v>
      </c>
      <c r="Y184" s="55" t="s">
        <v>428</v>
      </c>
      <c r="Z184" s="55" t="s">
        <v>2607</v>
      </c>
      <c r="AA184" s="58" t="s">
        <v>2608</v>
      </c>
      <c r="AB184" s="58" t="s">
        <v>2609</v>
      </c>
      <c r="AC184" s="55"/>
      <c r="AD184" s="55" t="s">
        <v>2610</v>
      </c>
      <c r="AE184" s="55" t="s">
        <v>2611</v>
      </c>
    </row>
    <row r="185">
      <c r="A185" s="103">
        <v>184.0</v>
      </c>
      <c r="B185" s="204" t="s">
        <v>600</v>
      </c>
      <c r="C185" s="83" t="s">
        <v>2612</v>
      </c>
      <c r="D185" s="86" t="s">
        <v>2613</v>
      </c>
      <c r="E185" s="37" t="str">
        <f t="shared" si="1"/>
        <v>ส.ท.หญิง เบญญาภา อำนวย</v>
      </c>
      <c r="F185" s="82" t="s">
        <v>603</v>
      </c>
      <c r="G185" s="83" t="s">
        <v>2614</v>
      </c>
      <c r="H185" s="86" t="s">
        <v>2615</v>
      </c>
      <c r="I185" s="20">
        <v>6.641010002E9</v>
      </c>
      <c r="J185" s="20">
        <v>1.709901103969E12</v>
      </c>
      <c r="K185" s="87" t="s">
        <v>2616</v>
      </c>
      <c r="L185" s="29" t="s">
        <v>2617</v>
      </c>
      <c r="M185" s="41" t="s">
        <v>2085</v>
      </c>
      <c r="N185" s="20" t="s">
        <v>85</v>
      </c>
      <c r="O185" s="39" t="s">
        <v>73</v>
      </c>
      <c r="P185" s="42">
        <v>9.90018683E8</v>
      </c>
      <c r="Q185" s="43"/>
      <c r="R185" s="45" t="s">
        <v>53</v>
      </c>
      <c r="S185" s="45" t="s">
        <v>48</v>
      </c>
      <c r="T185" s="66" t="s">
        <v>2618</v>
      </c>
      <c r="U185" s="57">
        <v>35425.0</v>
      </c>
      <c r="V185" s="31" t="s">
        <v>77</v>
      </c>
      <c r="W185" s="55">
        <f t="shared" si="2"/>
        <v>29</v>
      </c>
      <c r="X185" s="55" t="s">
        <v>229</v>
      </c>
      <c r="Y185" s="55" t="s">
        <v>428</v>
      </c>
      <c r="Z185" s="55" t="s">
        <v>2619</v>
      </c>
      <c r="AA185" s="58" t="s">
        <v>2620</v>
      </c>
      <c r="AB185" s="58" t="s">
        <v>2621</v>
      </c>
      <c r="AC185" s="55"/>
      <c r="AD185" s="55" t="s">
        <v>2622</v>
      </c>
      <c r="AE185" s="55" t="s">
        <v>2623</v>
      </c>
    </row>
    <row r="186">
      <c r="A186" s="103">
        <v>185.0</v>
      </c>
      <c r="B186" s="85" t="s">
        <v>106</v>
      </c>
      <c r="C186" s="83" t="s">
        <v>2624</v>
      </c>
      <c r="D186" s="86" t="s">
        <v>2625</v>
      </c>
      <c r="E186" s="37" t="str">
        <f t="shared" si="1"/>
        <v>จ.ส.อ. วิศรุต ยศม่าว</v>
      </c>
      <c r="F186" s="82" t="s">
        <v>111</v>
      </c>
      <c r="G186" s="83" t="s">
        <v>2626</v>
      </c>
      <c r="H186" s="86" t="s">
        <v>2627</v>
      </c>
      <c r="I186" s="20">
        <v>1.474901147E9</v>
      </c>
      <c r="J186" s="20">
        <v>1.44990002216E12</v>
      </c>
      <c r="K186" s="87" t="s">
        <v>2108</v>
      </c>
      <c r="L186" s="29" t="s">
        <v>2628</v>
      </c>
      <c r="M186" s="41" t="s">
        <v>2629</v>
      </c>
      <c r="N186" s="20" t="s">
        <v>72</v>
      </c>
      <c r="O186" s="39" t="s">
        <v>73</v>
      </c>
      <c r="P186" s="42" t="s">
        <v>2630</v>
      </c>
      <c r="Q186" s="43"/>
      <c r="R186" s="45" t="s">
        <v>55</v>
      </c>
      <c r="S186" s="45" t="s">
        <v>48</v>
      </c>
      <c r="T186" s="66" t="s">
        <v>2631</v>
      </c>
      <c r="U186" s="57">
        <v>31164.0</v>
      </c>
      <c r="V186" s="31" t="s">
        <v>77</v>
      </c>
      <c r="W186" s="55">
        <f t="shared" si="2"/>
        <v>41</v>
      </c>
      <c r="X186" s="55" t="s">
        <v>98</v>
      </c>
      <c r="Y186" s="55" t="s">
        <v>428</v>
      </c>
      <c r="Z186" s="55" t="s">
        <v>2632</v>
      </c>
      <c r="AA186" s="55"/>
      <c r="AB186" s="55"/>
      <c r="AC186" s="55"/>
      <c r="AD186" s="55" t="s">
        <v>2633</v>
      </c>
      <c r="AE186" s="55" t="s">
        <v>2634</v>
      </c>
    </row>
    <row r="187">
      <c r="A187" s="103">
        <v>186.0</v>
      </c>
      <c r="B187" s="85" t="s">
        <v>349</v>
      </c>
      <c r="C187" s="83" t="s">
        <v>2635</v>
      </c>
      <c r="D187" s="86" t="s">
        <v>2636</v>
      </c>
      <c r="E187" s="37" t="str">
        <f t="shared" si="1"/>
        <v>ส.อ. สหัสวรรษ จันทร์ศิริ</v>
      </c>
      <c r="F187" s="82" t="s">
        <v>353</v>
      </c>
      <c r="G187" s="83" t="s">
        <v>2637</v>
      </c>
      <c r="H187" s="86" t="s">
        <v>2638</v>
      </c>
      <c r="I187" s="20">
        <v>1.614902253E9</v>
      </c>
      <c r="J187" s="20">
        <v>1.719900513438E12</v>
      </c>
      <c r="K187" s="87" t="s">
        <v>1730</v>
      </c>
      <c r="L187" s="29" t="s">
        <v>2639</v>
      </c>
      <c r="M187" s="41" t="s">
        <v>473</v>
      </c>
      <c r="N187" s="20" t="s">
        <v>72</v>
      </c>
      <c r="O187" s="39" t="s">
        <v>73</v>
      </c>
      <c r="P187" s="42">
        <v>8.79153479E8</v>
      </c>
      <c r="Q187" s="43"/>
      <c r="R187" s="45" t="s">
        <v>55</v>
      </c>
      <c r="S187" s="45" t="s">
        <v>48</v>
      </c>
      <c r="T187" s="66" t="s">
        <v>2640</v>
      </c>
      <c r="U187" s="53">
        <v>36567.0</v>
      </c>
      <c r="V187" s="31" t="s">
        <v>77</v>
      </c>
      <c r="W187" s="55">
        <f t="shared" si="2"/>
        <v>26</v>
      </c>
      <c r="X187" s="55" t="s">
        <v>98</v>
      </c>
      <c r="Y187" s="55" t="s">
        <v>428</v>
      </c>
      <c r="Z187" s="55" t="s">
        <v>2641</v>
      </c>
      <c r="AA187" s="55"/>
      <c r="AB187" s="55"/>
      <c r="AC187" s="55"/>
      <c r="AD187" s="55" t="s">
        <v>2642</v>
      </c>
      <c r="AE187" s="55" t="s">
        <v>2643</v>
      </c>
    </row>
    <row r="188">
      <c r="A188" s="103">
        <v>187.0</v>
      </c>
      <c r="B188" s="85" t="s">
        <v>106</v>
      </c>
      <c r="C188" s="83" t="s">
        <v>2644</v>
      </c>
      <c r="D188" s="86" t="s">
        <v>2645</v>
      </c>
      <c r="E188" s="37" t="str">
        <f t="shared" si="1"/>
        <v>จ.ส.อ. เฉลิมชัย ซื่อตรง</v>
      </c>
      <c r="F188" s="82" t="s">
        <v>111</v>
      </c>
      <c r="G188" s="83" t="s">
        <v>2646</v>
      </c>
      <c r="H188" s="86" t="s">
        <v>2647</v>
      </c>
      <c r="I188" s="20">
        <v>1.404901239E9</v>
      </c>
      <c r="J188" s="20">
        <v>3.700800133348E12</v>
      </c>
      <c r="K188" s="87" t="s">
        <v>2648</v>
      </c>
      <c r="L188" s="29" t="s">
        <v>2649</v>
      </c>
      <c r="M188" s="41" t="s">
        <v>2650</v>
      </c>
      <c r="N188" s="20" t="s">
        <v>85</v>
      </c>
      <c r="O188" s="39" t="s">
        <v>73</v>
      </c>
      <c r="P188" s="42">
        <v>8.63150035E8</v>
      </c>
      <c r="Q188" s="43"/>
      <c r="R188" s="45" t="s">
        <v>55</v>
      </c>
      <c r="S188" s="45" t="s">
        <v>48</v>
      </c>
      <c r="T188" s="66" t="s">
        <v>2651</v>
      </c>
      <c r="U188" s="53">
        <v>28829.0</v>
      </c>
      <c r="V188" s="31" t="s">
        <v>77</v>
      </c>
      <c r="W188" s="55">
        <f t="shared" si="2"/>
        <v>47</v>
      </c>
      <c r="X188" s="55" t="s">
        <v>98</v>
      </c>
      <c r="Y188" s="55" t="s">
        <v>428</v>
      </c>
      <c r="Z188" s="55" t="s">
        <v>2652</v>
      </c>
      <c r="AA188" s="58" t="s">
        <v>2653</v>
      </c>
      <c r="AB188" s="58" t="s">
        <v>2654</v>
      </c>
      <c r="AC188" s="55"/>
      <c r="AD188" s="55" t="s">
        <v>2655</v>
      </c>
      <c r="AE188" s="55" t="s">
        <v>2656</v>
      </c>
    </row>
    <row r="189">
      <c r="A189" s="103">
        <v>188.0</v>
      </c>
      <c r="B189" s="85" t="s">
        <v>349</v>
      </c>
      <c r="C189" s="83" t="s">
        <v>2657</v>
      </c>
      <c r="D189" s="86" t="s">
        <v>2658</v>
      </c>
      <c r="E189" s="37" t="str">
        <f t="shared" si="1"/>
        <v>ส.อ. อนิวัติ บัวเรือง</v>
      </c>
      <c r="F189" s="82" t="s">
        <v>353</v>
      </c>
      <c r="G189" s="83" t="s">
        <v>1524</v>
      </c>
      <c r="H189" s="86" t="s">
        <v>2659</v>
      </c>
      <c r="I189" s="20">
        <v>1.590600182E9</v>
      </c>
      <c r="J189" s="20">
        <v>1.220400164511E12</v>
      </c>
      <c r="K189" s="87" t="s">
        <v>2648</v>
      </c>
      <c r="L189" s="29" t="s">
        <v>2660</v>
      </c>
      <c r="M189" s="41" t="s">
        <v>1569</v>
      </c>
      <c r="N189" s="20" t="s">
        <v>72</v>
      </c>
      <c r="O189" s="39" t="s">
        <v>73</v>
      </c>
      <c r="P189" s="42">
        <v>6.25729854E8</v>
      </c>
      <c r="Q189" s="43"/>
      <c r="R189" s="45" t="s">
        <v>55</v>
      </c>
      <c r="S189" s="45" t="s">
        <v>48</v>
      </c>
      <c r="T189" s="66" t="s">
        <v>2661</v>
      </c>
      <c r="U189" s="53">
        <v>35435.0</v>
      </c>
      <c r="V189" s="31" t="s">
        <v>77</v>
      </c>
      <c r="W189" s="55">
        <f t="shared" si="2"/>
        <v>29</v>
      </c>
      <c r="X189" s="55" t="s">
        <v>98</v>
      </c>
      <c r="Y189" s="55" t="s">
        <v>428</v>
      </c>
      <c r="Z189" s="55" t="s">
        <v>2662</v>
      </c>
      <c r="AA189" s="58" t="s">
        <v>2663</v>
      </c>
      <c r="AB189" s="58" t="s">
        <v>2664</v>
      </c>
      <c r="AC189" s="55"/>
      <c r="AD189" s="55" t="s">
        <v>2665</v>
      </c>
      <c r="AE189" s="55" t="s">
        <v>2666</v>
      </c>
    </row>
    <row r="190">
      <c r="A190" s="103">
        <v>189.0</v>
      </c>
      <c r="B190" s="85" t="s">
        <v>106</v>
      </c>
      <c r="C190" s="83" t="s">
        <v>2667</v>
      </c>
      <c r="D190" s="86" t="s">
        <v>2668</v>
      </c>
      <c r="E190" s="37" t="str">
        <f t="shared" si="1"/>
        <v>จ.ส.อ. ดำรงค์ แก้วจินดา</v>
      </c>
      <c r="F190" s="82" t="s">
        <v>111</v>
      </c>
      <c r="G190" s="83" t="s">
        <v>2669</v>
      </c>
      <c r="H190" s="86" t="s">
        <v>2670</v>
      </c>
      <c r="I190" s="20">
        <v>1.522100885E9</v>
      </c>
      <c r="J190" s="20">
        <v>1.30130013274E12</v>
      </c>
      <c r="K190" s="87" t="s">
        <v>2648</v>
      </c>
      <c r="L190" s="29" t="s">
        <v>2671</v>
      </c>
      <c r="M190" s="41" t="s">
        <v>1536</v>
      </c>
      <c r="N190" s="20" t="s">
        <v>155</v>
      </c>
      <c r="O190" s="39" t="s">
        <v>73</v>
      </c>
      <c r="P190" s="42" t="s">
        <v>2672</v>
      </c>
      <c r="Q190" s="43"/>
      <c r="R190" s="45" t="s">
        <v>55</v>
      </c>
      <c r="S190" s="45" t="s">
        <v>48</v>
      </c>
      <c r="T190" s="66" t="s">
        <v>2673</v>
      </c>
      <c r="U190" s="53">
        <v>32810.0</v>
      </c>
      <c r="V190" s="31" t="s">
        <v>77</v>
      </c>
      <c r="W190" s="55">
        <f t="shared" si="2"/>
        <v>36</v>
      </c>
      <c r="X190" s="55" t="s">
        <v>98</v>
      </c>
      <c r="Y190" s="55" t="s">
        <v>428</v>
      </c>
      <c r="Z190" s="55" t="s">
        <v>2674</v>
      </c>
      <c r="AA190" s="55"/>
      <c r="AB190" s="55"/>
      <c r="AC190" s="55"/>
      <c r="AD190" s="55" t="s">
        <v>2675</v>
      </c>
      <c r="AE190" s="55" t="s">
        <v>2676</v>
      </c>
    </row>
    <row r="191">
      <c r="A191" s="103">
        <v>190.0</v>
      </c>
      <c r="B191" s="85" t="s">
        <v>349</v>
      </c>
      <c r="C191" s="83" t="s">
        <v>2677</v>
      </c>
      <c r="D191" s="86" t="s">
        <v>2678</v>
      </c>
      <c r="E191" s="37" t="str">
        <f t="shared" si="1"/>
        <v>ส.อ. สุริยัน วรรณกาล</v>
      </c>
      <c r="F191" s="82" t="s">
        <v>353</v>
      </c>
      <c r="G191" s="83" t="s">
        <v>2679</v>
      </c>
      <c r="H191" s="86" t="s">
        <v>2680</v>
      </c>
      <c r="I191" s="20">
        <v>1.513901086E9</v>
      </c>
      <c r="J191" s="20">
        <v>1.760300035227E12</v>
      </c>
      <c r="K191" s="87" t="s">
        <v>2648</v>
      </c>
      <c r="L191" s="29" t="s">
        <v>2681</v>
      </c>
      <c r="M191" s="41" t="s">
        <v>1801</v>
      </c>
      <c r="N191" s="20" t="s">
        <v>72</v>
      </c>
      <c r="O191" s="39" t="s">
        <v>73</v>
      </c>
      <c r="P191" s="42">
        <v>9.2867593E8</v>
      </c>
      <c r="Q191" s="43"/>
      <c r="R191" s="45" t="s">
        <v>55</v>
      </c>
      <c r="S191" s="45" t="s">
        <v>48</v>
      </c>
      <c r="T191" s="66" t="s">
        <v>2682</v>
      </c>
      <c r="U191" s="53">
        <v>32782.0</v>
      </c>
      <c r="V191" s="31" t="s">
        <v>77</v>
      </c>
      <c r="W191" s="55">
        <f t="shared" si="2"/>
        <v>37</v>
      </c>
      <c r="X191" s="55" t="s">
        <v>98</v>
      </c>
      <c r="Y191" s="55" t="s">
        <v>428</v>
      </c>
      <c r="Z191" s="55" t="s">
        <v>329</v>
      </c>
      <c r="AA191" s="55"/>
      <c r="AB191" s="55"/>
      <c r="AC191" s="55"/>
      <c r="AD191" s="55" t="s">
        <v>2683</v>
      </c>
      <c r="AE191" s="55" t="s">
        <v>2684</v>
      </c>
    </row>
    <row r="192">
      <c r="A192" s="103">
        <v>191.0</v>
      </c>
      <c r="B192" s="85" t="s">
        <v>106</v>
      </c>
      <c r="C192" s="83" t="s">
        <v>2685</v>
      </c>
      <c r="D192" s="86" t="s">
        <v>2686</v>
      </c>
      <c r="E192" s="37" t="str">
        <f t="shared" si="1"/>
        <v>จ.ส.อ. จิรายุส จุลปาน</v>
      </c>
      <c r="F192" s="82" t="s">
        <v>111</v>
      </c>
      <c r="G192" s="83" t="s">
        <v>390</v>
      </c>
      <c r="H192" s="86" t="s">
        <v>2687</v>
      </c>
      <c r="I192" s="20">
        <v>1.551900675E9</v>
      </c>
      <c r="J192" s="20">
        <v>1.739900435976E12</v>
      </c>
      <c r="K192" s="122" t="s">
        <v>2108</v>
      </c>
      <c r="L192" s="29" t="s">
        <v>938</v>
      </c>
      <c r="M192" s="41" t="s">
        <v>2110</v>
      </c>
      <c r="N192" s="20" t="s">
        <v>155</v>
      </c>
      <c r="O192" s="39" t="s">
        <v>73</v>
      </c>
      <c r="P192" s="42">
        <v>9.69616369E8</v>
      </c>
      <c r="Q192" s="43"/>
      <c r="R192" s="45" t="s">
        <v>57</v>
      </c>
      <c r="S192" s="45" t="s">
        <v>48</v>
      </c>
      <c r="T192" s="66" t="s">
        <v>2688</v>
      </c>
      <c r="U192" s="53">
        <v>34270.0</v>
      </c>
      <c r="V192" s="31" t="s">
        <v>77</v>
      </c>
      <c r="W192" s="55">
        <f t="shared" si="2"/>
        <v>32</v>
      </c>
      <c r="X192" s="55" t="s">
        <v>98</v>
      </c>
      <c r="Y192" s="55" t="s">
        <v>428</v>
      </c>
      <c r="Z192" s="55" t="s">
        <v>2689</v>
      </c>
      <c r="AA192" s="55"/>
      <c r="AB192" s="55"/>
      <c r="AC192" s="55"/>
      <c r="AD192" s="55" t="s">
        <v>2690</v>
      </c>
      <c r="AE192" s="55" t="s">
        <v>2691</v>
      </c>
    </row>
    <row r="193">
      <c r="A193" s="103">
        <v>192.0</v>
      </c>
      <c r="B193" s="204" t="s">
        <v>106</v>
      </c>
      <c r="C193" s="83" t="s">
        <v>2692</v>
      </c>
      <c r="D193" s="86" t="s">
        <v>2693</v>
      </c>
      <c r="E193" s="37" t="str">
        <f t="shared" si="1"/>
        <v>จ.ส.อ. ภาณุพันธ์ สนธิ</v>
      </c>
      <c r="F193" s="99" t="s">
        <v>111</v>
      </c>
      <c r="G193" s="83" t="s">
        <v>2694</v>
      </c>
      <c r="H193" s="86" t="s">
        <v>2695</v>
      </c>
      <c r="I193" s="20">
        <v>1.504900958E9</v>
      </c>
      <c r="J193" s="20">
        <v>1.709900378344E12</v>
      </c>
      <c r="K193" s="122" t="s">
        <v>2310</v>
      </c>
      <c r="L193" s="29" t="s">
        <v>2696</v>
      </c>
      <c r="M193" s="41" t="s">
        <v>1814</v>
      </c>
      <c r="N193" s="20" t="s">
        <v>188</v>
      </c>
      <c r="O193" s="39" t="s">
        <v>73</v>
      </c>
      <c r="P193" s="42">
        <v>8.87664893E8</v>
      </c>
      <c r="Q193" s="43"/>
      <c r="R193" s="45" t="s">
        <v>57</v>
      </c>
      <c r="S193" s="45" t="s">
        <v>48</v>
      </c>
      <c r="T193" s="66" t="s">
        <v>2697</v>
      </c>
      <c r="U193" s="53">
        <v>32317.0</v>
      </c>
      <c r="V193" s="31" t="s">
        <v>77</v>
      </c>
      <c r="W193" s="55">
        <f t="shared" si="2"/>
        <v>38</v>
      </c>
      <c r="X193" s="55" t="s">
        <v>98</v>
      </c>
      <c r="Y193" s="55" t="s">
        <v>428</v>
      </c>
      <c r="Z193" s="55" t="s">
        <v>2698</v>
      </c>
      <c r="AA193" s="58" t="s">
        <v>2699</v>
      </c>
      <c r="AB193" s="58" t="s">
        <v>2700</v>
      </c>
      <c r="AC193" s="55"/>
      <c r="AD193" s="55" t="s">
        <v>2701</v>
      </c>
      <c r="AE193" s="55" t="s">
        <v>2702</v>
      </c>
    </row>
    <row r="194">
      <c r="A194" s="103">
        <v>193.0</v>
      </c>
      <c r="B194" s="85" t="s">
        <v>349</v>
      </c>
      <c r="C194" s="83" t="s">
        <v>2703</v>
      </c>
      <c r="D194" s="86" t="s">
        <v>2704</v>
      </c>
      <c r="E194" s="37" t="str">
        <f t="shared" si="1"/>
        <v>ส.อ. ธนบดินทร์ เถาทับนุ่ม</v>
      </c>
      <c r="F194" s="82" t="s">
        <v>353</v>
      </c>
      <c r="G194" s="83" t="s">
        <v>2705</v>
      </c>
      <c r="H194" s="86" t="s">
        <v>2706</v>
      </c>
      <c r="I194" s="20">
        <v>1.614900558E9</v>
      </c>
      <c r="J194" s="20">
        <v>1.709901302627E12</v>
      </c>
      <c r="K194" s="122" t="s">
        <v>2310</v>
      </c>
      <c r="L194" s="29" t="s">
        <v>2707</v>
      </c>
      <c r="M194" s="41" t="s">
        <v>1234</v>
      </c>
      <c r="N194" s="20" t="s">
        <v>155</v>
      </c>
      <c r="O194" s="39" t="s">
        <v>73</v>
      </c>
      <c r="P194" s="42">
        <v>8.63038063E8</v>
      </c>
      <c r="Q194" s="43"/>
      <c r="R194" s="45" t="s">
        <v>57</v>
      </c>
      <c r="S194" s="45" t="s">
        <v>48</v>
      </c>
      <c r="T194" s="66" t="s">
        <v>2708</v>
      </c>
      <c r="U194" s="53">
        <v>36512.0</v>
      </c>
      <c r="V194" s="31" t="s">
        <v>77</v>
      </c>
      <c r="W194" s="55">
        <f t="shared" si="2"/>
        <v>26</v>
      </c>
      <c r="X194" s="55" t="s">
        <v>98</v>
      </c>
      <c r="Y194" s="55" t="s">
        <v>428</v>
      </c>
      <c r="Z194" s="55" t="s">
        <v>2709</v>
      </c>
      <c r="AA194" s="58" t="s">
        <v>2710</v>
      </c>
      <c r="AB194" s="58" t="s">
        <v>2711</v>
      </c>
      <c r="AC194" s="55"/>
      <c r="AD194" s="55" t="s">
        <v>2712</v>
      </c>
      <c r="AE194" s="55" t="s">
        <v>2713</v>
      </c>
    </row>
    <row r="195">
      <c r="A195" s="103">
        <v>194.0</v>
      </c>
      <c r="B195" s="85" t="s">
        <v>106</v>
      </c>
      <c r="C195" s="83" t="s">
        <v>2714</v>
      </c>
      <c r="D195" s="86" t="s">
        <v>2715</v>
      </c>
      <c r="E195" s="37" t="s">
        <v>2716</v>
      </c>
      <c r="F195" s="82" t="s">
        <v>111</v>
      </c>
      <c r="G195" s="83" t="s">
        <v>2717</v>
      </c>
      <c r="H195" s="86" t="s">
        <v>2718</v>
      </c>
      <c r="I195" s="20">
        <v>1.444302212E9</v>
      </c>
      <c r="J195" s="20">
        <v>3.440600110291E12</v>
      </c>
      <c r="K195" s="212" t="s">
        <v>2719</v>
      </c>
      <c r="L195" s="29" t="s">
        <v>2720</v>
      </c>
      <c r="M195" s="41" t="s">
        <v>940</v>
      </c>
      <c r="N195" s="20" t="s">
        <v>155</v>
      </c>
      <c r="O195" s="39" t="s">
        <v>73</v>
      </c>
      <c r="P195" s="42">
        <v>8.00779567E8</v>
      </c>
      <c r="Q195" s="43"/>
      <c r="R195" s="45" t="s">
        <v>57</v>
      </c>
      <c r="S195" s="45" t="s">
        <v>48</v>
      </c>
      <c r="T195" s="66" t="s">
        <v>2721</v>
      </c>
      <c r="U195" s="53">
        <v>30237.0</v>
      </c>
      <c r="V195" s="31" t="s">
        <v>77</v>
      </c>
      <c r="W195" s="55">
        <f t="shared" si="2"/>
        <v>43</v>
      </c>
      <c r="X195" s="55" t="s">
        <v>98</v>
      </c>
      <c r="Y195" s="55" t="s">
        <v>428</v>
      </c>
      <c r="Z195" s="55" t="s">
        <v>2722</v>
      </c>
      <c r="AA195" s="58" t="s">
        <v>2723</v>
      </c>
      <c r="AB195" s="58" t="s">
        <v>2724</v>
      </c>
      <c r="AC195" s="55"/>
      <c r="AD195" s="55" t="s">
        <v>2725</v>
      </c>
      <c r="AE195" s="55" t="s">
        <v>2726</v>
      </c>
    </row>
    <row r="196">
      <c r="A196" s="103">
        <v>195.0</v>
      </c>
      <c r="B196" s="204" t="s">
        <v>646</v>
      </c>
      <c r="C196" s="83" t="s">
        <v>1166</v>
      </c>
      <c r="D196" s="86" t="s">
        <v>2727</v>
      </c>
      <c r="E196" s="37" t="str">
        <f t="shared" ref="E196:E274" si="3">B196&amp;" "&amp;C196&amp;" "&amp;D196</f>
        <v>จ.ส.ต. วสันต์ ชมภูพันธ์</v>
      </c>
      <c r="F196" s="99" t="s">
        <v>659</v>
      </c>
      <c r="G196" s="83" t="s">
        <v>1168</v>
      </c>
      <c r="H196" s="86" t="s">
        <v>2728</v>
      </c>
      <c r="I196" s="20">
        <v>1.564900202E9</v>
      </c>
      <c r="J196" s="20">
        <v>1.709900691557E12</v>
      </c>
      <c r="K196" s="122" t="s">
        <v>2729</v>
      </c>
      <c r="L196" s="29" t="s">
        <v>2730</v>
      </c>
      <c r="M196" s="41" t="s">
        <v>2731</v>
      </c>
      <c r="N196" s="20" t="s">
        <v>85</v>
      </c>
      <c r="O196" s="39" t="s">
        <v>73</v>
      </c>
      <c r="P196" s="42">
        <v>8.41133576E8</v>
      </c>
      <c r="Q196" s="43"/>
      <c r="R196" s="45" t="s">
        <v>57</v>
      </c>
      <c r="S196" s="45" t="s">
        <v>48</v>
      </c>
      <c r="T196" s="66" t="s">
        <v>2732</v>
      </c>
      <c r="U196" s="53">
        <v>33654.0</v>
      </c>
      <c r="V196" s="31" t="s">
        <v>77</v>
      </c>
      <c r="W196" s="55">
        <f t="shared" si="2"/>
        <v>34</v>
      </c>
      <c r="X196" s="55" t="s">
        <v>98</v>
      </c>
      <c r="Y196" s="55" t="s">
        <v>428</v>
      </c>
      <c r="Z196" s="55" t="s">
        <v>2361</v>
      </c>
      <c r="AA196" s="114" t="s">
        <v>2733</v>
      </c>
      <c r="AB196" s="58" t="s">
        <v>2734</v>
      </c>
      <c r="AC196" s="55"/>
      <c r="AD196" s="55" t="s">
        <v>2735</v>
      </c>
      <c r="AE196" s="55" t="s">
        <v>2736</v>
      </c>
    </row>
    <row r="197">
      <c r="A197" s="103">
        <v>196.0</v>
      </c>
      <c r="B197" s="85" t="s">
        <v>349</v>
      </c>
      <c r="C197" s="83" t="s">
        <v>2737</v>
      </c>
      <c r="D197" s="86" t="s">
        <v>2738</v>
      </c>
      <c r="E197" s="37" t="str">
        <f t="shared" si="3"/>
        <v>ส.อ. ชัยวัฒน์ มุ่งแฝงกลาง</v>
      </c>
      <c r="F197" s="82" t="s">
        <v>353</v>
      </c>
      <c r="G197" s="83" t="s">
        <v>2739</v>
      </c>
      <c r="H197" s="86" t="s">
        <v>2740</v>
      </c>
      <c r="I197" s="20">
        <v>1.602100978E9</v>
      </c>
      <c r="J197" s="20">
        <v>1.100501302236E12</v>
      </c>
      <c r="K197" s="122" t="s">
        <v>2741</v>
      </c>
      <c r="L197" s="29" t="s">
        <v>2742</v>
      </c>
      <c r="M197" s="41" t="s">
        <v>658</v>
      </c>
      <c r="N197" s="20" t="s">
        <v>72</v>
      </c>
      <c r="O197" s="39" t="s">
        <v>73</v>
      </c>
      <c r="P197" s="67">
        <v>9.67033979E8</v>
      </c>
      <c r="Q197" s="43"/>
      <c r="R197" s="45" t="s">
        <v>57</v>
      </c>
      <c r="S197" s="45" t="s">
        <v>48</v>
      </c>
      <c r="T197" s="66" t="s">
        <v>2743</v>
      </c>
      <c r="U197" s="57">
        <v>35187.0</v>
      </c>
      <c r="V197" s="31" t="s">
        <v>77</v>
      </c>
      <c r="W197" s="55">
        <f t="shared" si="2"/>
        <v>30</v>
      </c>
      <c r="X197" s="55" t="s">
        <v>98</v>
      </c>
      <c r="Y197" s="55" t="s">
        <v>428</v>
      </c>
      <c r="Z197" s="55" t="s">
        <v>2744</v>
      </c>
      <c r="AA197" s="55"/>
      <c r="AB197" s="55"/>
      <c r="AC197" s="55"/>
      <c r="AD197" s="55" t="s">
        <v>2745</v>
      </c>
      <c r="AE197" s="55" t="s">
        <v>2746</v>
      </c>
    </row>
    <row r="198">
      <c r="A198" s="103">
        <v>197.0</v>
      </c>
      <c r="B198" s="85" t="s">
        <v>349</v>
      </c>
      <c r="C198" s="83" t="s">
        <v>2635</v>
      </c>
      <c r="D198" s="86" t="s">
        <v>2747</v>
      </c>
      <c r="E198" s="37" t="str">
        <f t="shared" si="3"/>
        <v>ส.อ. สหัสวรรษ เวชศิริ</v>
      </c>
      <c r="F198" s="82" t="s">
        <v>353</v>
      </c>
      <c r="G198" s="83" t="s">
        <v>2748</v>
      </c>
      <c r="H198" s="86" t="s">
        <v>2749</v>
      </c>
      <c r="I198" s="20">
        <v>1.61300066E9</v>
      </c>
      <c r="J198" s="20">
        <v>1.7099013082E12</v>
      </c>
      <c r="K198" s="122" t="s">
        <v>990</v>
      </c>
      <c r="L198" s="29" t="s">
        <v>2750</v>
      </c>
      <c r="M198" s="41" t="s">
        <v>2312</v>
      </c>
      <c r="N198" s="20" t="s">
        <v>72</v>
      </c>
      <c r="O198" s="39" t="s">
        <v>73</v>
      </c>
      <c r="P198" s="42">
        <v>9.29630932E8</v>
      </c>
      <c r="Q198" s="43"/>
      <c r="R198" s="45" t="s">
        <v>57</v>
      </c>
      <c r="S198" s="45" t="s">
        <v>48</v>
      </c>
      <c r="T198" s="66" t="s">
        <v>2751</v>
      </c>
      <c r="U198" s="53">
        <v>36547.0</v>
      </c>
      <c r="V198" s="31" t="s">
        <v>77</v>
      </c>
      <c r="W198" s="55">
        <f t="shared" si="2"/>
        <v>26</v>
      </c>
      <c r="X198" s="55" t="s">
        <v>98</v>
      </c>
      <c r="Y198" s="55" t="s">
        <v>428</v>
      </c>
      <c r="Z198" s="55" t="s">
        <v>2236</v>
      </c>
      <c r="AA198" s="58" t="s">
        <v>2752</v>
      </c>
      <c r="AB198" s="58" t="s">
        <v>2753</v>
      </c>
      <c r="AC198" s="55"/>
      <c r="AD198" s="55" t="s">
        <v>2754</v>
      </c>
      <c r="AE198" s="55" t="s">
        <v>2755</v>
      </c>
    </row>
    <row r="199">
      <c r="A199" s="103">
        <v>198.0</v>
      </c>
      <c r="B199" s="85" t="s">
        <v>349</v>
      </c>
      <c r="C199" s="83" t="s">
        <v>2756</v>
      </c>
      <c r="D199" s="86" t="s">
        <v>2757</v>
      </c>
      <c r="E199" s="37" t="str">
        <f t="shared" si="3"/>
        <v>ส.อ. ณฐพล เทพวงษ์</v>
      </c>
      <c r="F199" s="82" t="s">
        <v>353</v>
      </c>
      <c r="G199" s="83" t="s">
        <v>2758</v>
      </c>
      <c r="H199" s="86" t="s">
        <v>2759</v>
      </c>
      <c r="I199" s="20">
        <v>1.604900433E9</v>
      </c>
      <c r="J199" s="20">
        <v>1.709800251598E12</v>
      </c>
      <c r="K199" s="122" t="s">
        <v>2760</v>
      </c>
      <c r="L199" s="29" t="s">
        <v>2761</v>
      </c>
      <c r="M199" s="41" t="s">
        <v>2762</v>
      </c>
      <c r="N199" s="20" t="s">
        <v>85</v>
      </c>
      <c r="O199" s="39" t="s">
        <v>73</v>
      </c>
      <c r="P199" s="42">
        <v>9.58636236E8</v>
      </c>
      <c r="Q199" s="43"/>
      <c r="R199" s="45" t="s">
        <v>57</v>
      </c>
      <c r="S199" s="45" t="s">
        <v>48</v>
      </c>
      <c r="T199" s="66" t="s">
        <v>2763</v>
      </c>
      <c r="U199" s="53">
        <v>35121.0</v>
      </c>
      <c r="V199" s="31" t="s">
        <v>77</v>
      </c>
      <c r="W199" s="55">
        <f t="shared" si="2"/>
        <v>30</v>
      </c>
      <c r="X199" s="55" t="s">
        <v>98</v>
      </c>
      <c r="Y199" s="55" t="s">
        <v>428</v>
      </c>
      <c r="Z199" s="55" t="s">
        <v>2314</v>
      </c>
      <c r="AA199" s="55"/>
      <c r="AB199" s="55"/>
      <c r="AC199" s="55"/>
      <c r="AD199" s="55" t="s">
        <v>2764</v>
      </c>
      <c r="AE199" s="55" t="s">
        <v>2765</v>
      </c>
    </row>
    <row r="200">
      <c r="A200" s="103">
        <v>199.0</v>
      </c>
      <c r="B200" s="85" t="s">
        <v>106</v>
      </c>
      <c r="C200" s="83" t="s">
        <v>2766</v>
      </c>
      <c r="D200" s="86" t="s">
        <v>2767</v>
      </c>
      <c r="E200" s="37" t="str">
        <f t="shared" si="3"/>
        <v>จ.ส.อ. ชยากร อุตสา</v>
      </c>
      <c r="F200" s="82" t="s">
        <v>111</v>
      </c>
      <c r="G200" s="83" t="s">
        <v>1294</v>
      </c>
      <c r="H200" s="86" t="s">
        <v>2768</v>
      </c>
      <c r="I200" s="20">
        <v>1.516300413E9</v>
      </c>
      <c r="J200" s="20">
        <v>1.640600122045E12</v>
      </c>
      <c r="K200" s="122" t="s">
        <v>2769</v>
      </c>
      <c r="L200" s="29" t="s">
        <v>2770</v>
      </c>
      <c r="M200" s="41" t="s">
        <v>1145</v>
      </c>
      <c r="N200" s="20" t="s">
        <v>72</v>
      </c>
      <c r="O200" s="39" t="s">
        <v>73</v>
      </c>
      <c r="P200" s="42">
        <v>8.54295803E8</v>
      </c>
      <c r="Q200" s="43"/>
      <c r="R200" s="45" t="s">
        <v>57</v>
      </c>
      <c r="S200" s="45" t="s">
        <v>48</v>
      </c>
      <c r="T200" s="66" t="s">
        <v>2771</v>
      </c>
      <c r="U200" s="53">
        <v>32544.0</v>
      </c>
      <c r="V200" s="31" t="s">
        <v>77</v>
      </c>
      <c r="W200" s="55">
        <f t="shared" si="2"/>
        <v>37</v>
      </c>
      <c r="X200" s="55" t="s">
        <v>98</v>
      </c>
      <c r="Y200" s="55" t="s">
        <v>428</v>
      </c>
      <c r="Z200" s="55" t="s">
        <v>2772</v>
      </c>
      <c r="AA200" s="58" t="s">
        <v>2773</v>
      </c>
      <c r="AB200" s="58" t="s">
        <v>2774</v>
      </c>
      <c r="AC200" s="55"/>
      <c r="AD200" s="55" t="s">
        <v>2775</v>
      </c>
      <c r="AE200" s="55" t="s">
        <v>2776</v>
      </c>
    </row>
    <row r="201">
      <c r="A201" s="103">
        <v>200.0</v>
      </c>
      <c r="B201" s="85" t="s">
        <v>135</v>
      </c>
      <c r="C201" s="83" t="s">
        <v>638</v>
      </c>
      <c r="D201" s="86" t="s">
        <v>639</v>
      </c>
      <c r="E201" s="37" t="str">
        <f t="shared" si="3"/>
        <v>ร.ท. พงศ์พิทูร ศักดาชาญสวัสดิ์</v>
      </c>
      <c r="F201" s="139" t="s">
        <v>80</v>
      </c>
      <c r="G201" s="83" t="s">
        <v>650</v>
      </c>
      <c r="H201" s="86" t="s">
        <v>651</v>
      </c>
      <c r="I201" s="20">
        <v>1.581902311E9</v>
      </c>
      <c r="J201" s="20">
        <v>1.739901727393E12</v>
      </c>
      <c r="K201" s="141" t="s">
        <v>656</v>
      </c>
      <c r="L201" s="142" t="s">
        <v>660</v>
      </c>
      <c r="M201" s="41" t="s">
        <v>2777</v>
      </c>
      <c r="N201" s="18" t="s">
        <v>72</v>
      </c>
      <c r="O201" s="144" t="s">
        <v>666</v>
      </c>
      <c r="P201" s="42">
        <v>8.13636653E8</v>
      </c>
      <c r="Q201" s="43"/>
      <c r="R201" s="45" t="s">
        <v>58</v>
      </c>
      <c r="S201" s="46"/>
      <c r="T201" s="66" t="s">
        <v>2778</v>
      </c>
      <c r="U201" s="53">
        <v>35725.0</v>
      </c>
      <c r="V201" s="31" t="s">
        <v>77</v>
      </c>
      <c r="W201" s="55">
        <f t="shared" si="2"/>
        <v>28</v>
      </c>
      <c r="X201" s="55" t="s">
        <v>98</v>
      </c>
      <c r="Y201" s="55" t="s">
        <v>99</v>
      </c>
      <c r="Z201" s="55" t="s">
        <v>2779</v>
      </c>
      <c r="AA201" s="58" t="s">
        <v>2780</v>
      </c>
      <c r="AB201" s="58" t="s">
        <v>2781</v>
      </c>
      <c r="AC201" s="55"/>
      <c r="AD201" s="55" t="s">
        <v>2782</v>
      </c>
      <c r="AE201" s="55" t="s">
        <v>2783</v>
      </c>
    </row>
    <row r="202">
      <c r="A202" s="18">
        <v>274.0</v>
      </c>
      <c r="B202" s="158" t="s">
        <v>349</v>
      </c>
      <c r="C202" s="35" t="s">
        <v>750</v>
      </c>
      <c r="D202" s="36" t="s">
        <v>751</v>
      </c>
      <c r="E202" s="37" t="str">
        <f t="shared" si="3"/>
        <v>ส.อ. ไพศาล ผูกจิตต์</v>
      </c>
      <c r="F202" s="63" t="s">
        <v>353</v>
      </c>
      <c r="G202" s="35" t="s">
        <v>754</v>
      </c>
      <c r="H202" s="36" t="s">
        <v>757</v>
      </c>
      <c r="I202" s="121">
        <v>1.596900966E9</v>
      </c>
      <c r="J202" s="121">
        <v>1.530800055415E12</v>
      </c>
      <c r="K202" s="87" t="s">
        <v>542</v>
      </c>
      <c r="L202" s="147" t="s">
        <v>759</v>
      </c>
      <c r="M202" s="41" t="s">
        <v>473</v>
      </c>
      <c r="N202" s="121" t="s">
        <v>85</v>
      </c>
      <c r="O202" s="144" t="s">
        <v>666</v>
      </c>
      <c r="P202" s="42">
        <v>9.42092431E8</v>
      </c>
      <c r="Q202" s="213"/>
      <c r="R202" s="45" t="s">
        <v>58</v>
      </c>
      <c r="S202" s="213"/>
      <c r="T202" s="66" t="s">
        <v>2784</v>
      </c>
      <c r="U202" s="53">
        <v>35045.0</v>
      </c>
      <c r="V202" s="31" t="s">
        <v>77</v>
      </c>
      <c r="W202" s="214">
        <f t="shared" si="2"/>
        <v>30</v>
      </c>
      <c r="X202" s="214" t="s">
        <v>98</v>
      </c>
      <c r="Y202" s="214" t="s">
        <v>428</v>
      </c>
      <c r="Z202" s="213" t="s">
        <v>2785</v>
      </c>
      <c r="AA202" s="215" t="s">
        <v>2786</v>
      </c>
      <c r="AB202" s="213" t="s">
        <v>2787</v>
      </c>
      <c r="AC202" s="216"/>
      <c r="AD202" s="55" t="s">
        <v>2788</v>
      </c>
      <c r="AE202" s="214" t="s">
        <v>2789</v>
      </c>
    </row>
    <row r="203">
      <c r="A203" s="103">
        <v>202.0</v>
      </c>
      <c r="B203" s="85" t="s">
        <v>349</v>
      </c>
      <c r="C203" s="83" t="s">
        <v>2790</v>
      </c>
      <c r="D203" s="86" t="s">
        <v>2791</v>
      </c>
      <c r="E203" s="37" t="str">
        <f t="shared" si="3"/>
        <v>ส.อ. พานเพชร เกสร</v>
      </c>
      <c r="F203" s="82" t="s">
        <v>353</v>
      </c>
      <c r="G203" s="83" t="s">
        <v>2792</v>
      </c>
      <c r="H203" s="86" t="s">
        <v>2793</v>
      </c>
      <c r="I203" s="20">
        <v>1.60080022E9</v>
      </c>
      <c r="J203" s="20">
        <v>1.909801041749E12</v>
      </c>
      <c r="K203" s="87" t="s">
        <v>2084</v>
      </c>
      <c r="L203" s="142" t="s">
        <v>2794</v>
      </c>
      <c r="M203" s="41" t="s">
        <v>1234</v>
      </c>
      <c r="N203" s="18" t="s">
        <v>188</v>
      </c>
      <c r="O203" s="144" t="s">
        <v>666</v>
      </c>
      <c r="P203" s="42">
        <v>9.91647733E8</v>
      </c>
      <c r="Q203" s="43"/>
      <c r="R203" s="45" t="s">
        <v>58</v>
      </c>
      <c r="S203" s="46"/>
      <c r="T203" s="66" t="s">
        <v>2795</v>
      </c>
      <c r="U203" s="53">
        <v>35196.0</v>
      </c>
      <c r="V203" s="157" t="s">
        <v>203</v>
      </c>
      <c r="W203" s="55">
        <f t="shared" si="2"/>
        <v>30</v>
      </c>
      <c r="X203" s="55" t="s">
        <v>98</v>
      </c>
      <c r="Y203" s="55" t="s">
        <v>428</v>
      </c>
      <c r="Z203" s="55" t="s">
        <v>2796</v>
      </c>
      <c r="AA203" s="114" t="s">
        <v>2797</v>
      </c>
      <c r="AB203" s="58" t="s">
        <v>2798</v>
      </c>
      <c r="AC203" s="55"/>
      <c r="AD203" s="55" t="s">
        <v>2799</v>
      </c>
      <c r="AE203" s="55" t="s">
        <v>2800</v>
      </c>
    </row>
    <row r="204">
      <c r="A204" s="103">
        <v>203.0</v>
      </c>
      <c r="B204" s="85" t="s">
        <v>349</v>
      </c>
      <c r="C204" s="83" t="s">
        <v>2801</v>
      </c>
      <c r="D204" s="86" t="s">
        <v>2802</v>
      </c>
      <c r="E204" s="37" t="str">
        <f t="shared" si="3"/>
        <v>ส.อ. ปกรณ์ คงแก้วขาว</v>
      </c>
      <c r="F204" s="82" t="s">
        <v>353</v>
      </c>
      <c r="G204" s="83" t="s">
        <v>2803</v>
      </c>
      <c r="H204" s="86" t="s">
        <v>2804</v>
      </c>
      <c r="I204" s="20">
        <v>1.612201055E9</v>
      </c>
      <c r="J204" s="20">
        <v>1.809700285333E12</v>
      </c>
      <c r="K204" s="87" t="s">
        <v>2805</v>
      </c>
      <c r="L204" s="142" t="s">
        <v>2806</v>
      </c>
      <c r="M204" s="41" t="s">
        <v>473</v>
      </c>
      <c r="N204" s="18" t="s">
        <v>72</v>
      </c>
      <c r="O204" s="144" t="s">
        <v>666</v>
      </c>
      <c r="P204" s="42">
        <v>9.3756883E8</v>
      </c>
      <c r="Q204" s="43"/>
      <c r="R204" s="45" t="s">
        <v>58</v>
      </c>
      <c r="S204" s="46"/>
      <c r="T204" s="66" t="s">
        <v>2807</v>
      </c>
      <c r="U204" s="53">
        <v>35519.0</v>
      </c>
      <c r="V204" s="31" t="s">
        <v>77</v>
      </c>
      <c r="W204" s="55">
        <f t="shared" si="2"/>
        <v>29</v>
      </c>
      <c r="X204" s="55" t="s">
        <v>98</v>
      </c>
      <c r="Y204" s="55" t="s">
        <v>428</v>
      </c>
      <c r="Z204" s="55" t="s">
        <v>2808</v>
      </c>
      <c r="AA204" s="114" t="s">
        <v>2809</v>
      </c>
      <c r="AB204" s="58" t="s">
        <v>2810</v>
      </c>
      <c r="AC204" s="55"/>
      <c r="AD204" s="55" t="s">
        <v>2811</v>
      </c>
      <c r="AE204" s="55" t="s">
        <v>2812</v>
      </c>
    </row>
    <row r="205">
      <c r="A205" s="103">
        <v>204.0</v>
      </c>
      <c r="B205" s="204" t="s">
        <v>349</v>
      </c>
      <c r="C205" s="83" t="s">
        <v>2813</v>
      </c>
      <c r="D205" s="86" t="s">
        <v>2814</v>
      </c>
      <c r="E205" s="102" t="str">
        <f t="shared" si="3"/>
        <v>ส.อ. สรเพชร แก้วสิริพณิชย์</v>
      </c>
      <c r="F205" s="99" t="s">
        <v>353</v>
      </c>
      <c r="G205" s="83" t="s">
        <v>2815</v>
      </c>
      <c r="H205" s="86" t="s">
        <v>2816</v>
      </c>
      <c r="I205" s="20">
        <v>1.632014436E9</v>
      </c>
      <c r="J205" s="20">
        <v>1.580200104385E12</v>
      </c>
      <c r="K205" s="87" t="s">
        <v>899</v>
      </c>
      <c r="L205" s="142" t="s">
        <v>2817</v>
      </c>
      <c r="M205" s="41" t="s">
        <v>2762</v>
      </c>
      <c r="N205" s="20" t="s">
        <v>72</v>
      </c>
      <c r="O205" s="144" t="s">
        <v>666</v>
      </c>
      <c r="P205" s="42">
        <v>9.30907029E8</v>
      </c>
      <c r="Q205" s="43"/>
      <c r="R205" s="45" t="s">
        <v>58</v>
      </c>
      <c r="S205" s="46"/>
      <c r="T205" s="51" t="s">
        <v>2818</v>
      </c>
      <c r="U205" s="68">
        <v>37225.0</v>
      </c>
      <c r="V205" s="31" t="s">
        <v>77</v>
      </c>
      <c r="W205" s="55">
        <f t="shared" si="2"/>
        <v>24</v>
      </c>
      <c r="X205" s="55" t="s">
        <v>98</v>
      </c>
      <c r="Y205" s="55" t="s">
        <v>428</v>
      </c>
      <c r="Z205" s="55" t="s">
        <v>2819</v>
      </c>
      <c r="AA205" s="114" t="s">
        <v>2820</v>
      </c>
      <c r="AB205" s="58" t="s">
        <v>2821</v>
      </c>
      <c r="AC205" s="55"/>
      <c r="AD205" s="55" t="s">
        <v>2822</v>
      </c>
      <c r="AE205" s="55" t="s">
        <v>2823</v>
      </c>
    </row>
    <row r="206">
      <c r="A206" s="103">
        <v>205.0</v>
      </c>
      <c r="B206" s="85" t="s">
        <v>106</v>
      </c>
      <c r="C206" s="83" t="s">
        <v>2824</v>
      </c>
      <c r="D206" s="86" t="s">
        <v>2825</v>
      </c>
      <c r="E206" s="37" t="str">
        <f t="shared" si="3"/>
        <v>จ.ส.อ. สุทิวัส สิงห์แพ</v>
      </c>
      <c r="F206" s="82" t="s">
        <v>111</v>
      </c>
      <c r="G206" s="83" t="s">
        <v>2826</v>
      </c>
      <c r="H206" s="86" t="s">
        <v>2827</v>
      </c>
      <c r="I206" s="20">
        <v>1.576200479E9</v>
      </c>
      <c r="J206" s="20">
        <v>1.170600141826E12</v>
      </c>
      <c r="K206" s="141" t="s">
        <v>2828</v>
      </c>
      <c r="L206" s="173" t="s">
        <v>2829</v>
      </c>
      <c r="M206" s="41" t="s">
        <v>2001</v>
      </c>
      <c r="N206" s="20" t="s">
        <v>85</v>
      </c>
      <c r="O206" s="144" t="s">
        <v>666</v>
      </c>
      <c r="P206" s="42">
        <v>8.97904378E8</v>
      </c>
      <c r="Q206" s="43"/>
      <c r="R206" s="45" t="s">
        <v>58</v>
      </c>
      <c r="S206" s="46"/>
      <c r="T206" s="66" t="s">
        <v>2830</v>
      </c>
      <c r="U206" s="53">
        <v>35200.0</v>
      </c>
      <c r="V206" s="31" t="s">
        <v>77</v>
      </c>
      <c r="W206" s="55">
        <f t="shared" si="2"/>
        <v>30</v>
      </c>
      <c r="X206" s="55" t="s">
        <v>98</v>
      </c>
      <c r="Y206" s="55" t="s">
        <v>428</v>
      </c>
      <c r="Z206" s="55" t="s">
        <v>2831</v>
      </c>
      <c r="AA206" s="58" t="s">
        <v>2832</v>
      </c>
      <c r="AB206" s="58" t="s">
        <v>2833</v>
      </c>
      <c r="AC206" s="55"/>
      <c r="AD206" s="55" t="s">
        <v>2834</v>
      </c>
      <c r="AE206" s="55" t="s">
        <v>2835</v>
      </c>
    </row>
    <row r="207">
      <c r="A207" s="103">
        <v>206.0</v>
      </c>
      <c r="B207" s="204" t="s">
        <v>106</v>
      </c>
      <c r="C207" s="83" t="s">
        <v>2836</v>
      </c>
      <c r="D207" s="86" t="s">
        <v>2837</v>
      </c>
      <c r="E207" s="37" t="str">
        <f t="shared" si="3"/>
        <v>จ.ส.อ. ธีระศักดิ์ แสงขาล</v>
      </c>
      <c r="F207" s="99" t="s">
        <v>111</v>
      </c>
      <c r="G207" s="83" t="s">
        <v>2838</v>
      </c>
      <c r="H207" s="86" t="s">
        <v>2839</v>
      </c>
      <c r="I207" s="20">
        <v>1.555301681E9</v>
      </c>
      <c r="J207" s="20">
        <v>1.429900124892E12</v>
      </c>
      <c r="K207" s="87" t="s">
        <v>2840</v>
      </c>
      <c r="L207" s="173" t="s">
        <v>2841</v>
      </c>
      <c r="M207" s="41" t="s">
        <v>880</v>
      </c>
      <c r="N207" s="20" t="s">
        <v>155</v>
      </c>
      <c r="O207" s="144" t="s">
        <v>666</v>
      </c>
      <c r="P207" s="42">
        <v>9.52486857E8</v>
      </c>
      <c r="Q207" s="43"/>
      <c r="R207" s="45" t="s">
        <v>58</v>
      </c>
      <c r="S207" s="46"/>
      <c r="T207" s="66" t="s">
        <v>2842</v>
      </c>
      <c r="U207" s="53">
        <v>33235.0</v>
      </c>
      <c r="V207" s="31" t="s">
        <v>77</v>
      </c>
      <c r="W207" s="55">
        <f t="shared" si="2"/>
        <v>35</v>
      </c>
      <c r="X207" s="55" t="s">
        <v>98</v>
      </c>
      <c r="Y207" s="55" t="s">
        <v>428</v>
      </c>
      <c r="Z207" s="55" t="s">
        <v>847</v>
      </c>
      <c r="AA207" s="58" t="s">
        <v>2843</v>
      </c>
      <c r="AB207" s="58" t="s">
        <v>2844</v>
      </c>
      <c r="AC207" s="55"/>
      <c r="AD207" s="55" t="s">
        <v>2845</v>
      </c>
      <c r="AE207" s="55" t="s">
        <v>2846</v>
      </c>
    </row>
    <row r="208">
      <c r="A208" s="103">
        <v>207.0</v>
      </c>
      <c r="B208" s="204" t="s">
        <v>398</v>
      </c>
      <c r="C208" s="83" t="s">
        <v>2847</v>
      </c>
      <c r="D208" s="86" t="s">
        <v>2848</v>
      </c>
      <c r="E208" s="37" t="str">
        <f t="shared" si="3"/>
        <v>จ.ส.ท. วรวุฒิ ทวีโคตร</v>
      </c>
      <c r="F208" s="99" t="s">
        <v>410</v>
      </c>
      <c r="G208" s="83" t="s">
        <v>2849</v>
      </c>
      <c r="H208" s="86" t="s">
        <v>2850</v>
      </c>
      <c r="I208" s="20">
        <v>1.547400687E9</v>
      </c>
      <c r="J208" s="20">
        <v>1.490700033666E12</v>
      </c>
      <c r="K208" s="87" t="s">
        <v>2851</v>
      </c>
      <c r="L208" s="173" t="s">
        <v>2829</v>
      </c>
      <c r="M208" s="41" t="s">
        <v>2852</v>
      </c>
      <c r="N208" s="20" t="s">
        <v>155</v>
      </c>
      <c r="O208" s="144" t="s">
        <v>666</v>
      </c>
      <c r="P208" s="42">
        <v>9.80824873E8</v>
      </c>
      <c r="Q208" s="43"/>
      <c r="R208" s="45" t="s">
        <v>58</v>
      </c>
      <c r="S208" s="46"/>
      <c r="T208" s="66" t="s">
        <v>2853</v>
      </c>
      <c r="U208" s="53">
        <v>33218.0</v>
      </c>
      <c r="V208" s="31" t="s">
        <v>77</v>
      </c>
      <c r="W208" s="55">
        <f t="shared" si="2"/>
        <v>35</v>
      </c>
      <c r="X208" s="55" t="s">
        <v>98</v>
      </c>
      <c r="Y208" s="55" t="s">
        <v>428</v>
      </c>
      <c r="Z208" s="55" t="s">
        <v>2854</v>
      </c>
      <c r="AA208" s="114" t="s">
        <v>2855</v>
      </c>
      <c r="AB208" s="58" t="s">
        <v>2856</v>
      </c>
      <c r="AC208" s="55"/>
      <c r="AD208" s="55" t="s">
        <v>2857</v>
      </c>
      <c r="AE208" s="55" t="s">
        <v>2858</v>
      </c>
    </row>
    <row r="209">
      <c r="A209" s="103">
        <v>208.0</v>
      </c>
      <c r="B209" s="204" t="s">
        <v>646</v>
      </c>
      <c r="C209" s="83" t="s">
        <v>2859</v>
      </c>
      <c r="D209" s="86" t="s">
        <v>2860</v>
      </c>
      <c r="E209" s="37" t="str">
        <f t="shared" si="3"/>
        <v>จ.ส.ต. ขวัญชัย ด้วงมาก</v>
      </c>
      <c r="F209" s="99" t="s">
        <v>659</v>
      </c>
      <c r="G209" s="83" t="s">
        <v>2861</v>
      </c>
      <c r="H209" s="86" t="s">
        <v>2862</v>
      </c>
      <c r="I209" s="20">
        <v>1.561401312E9</v>
      </c>
      <c r="J209" s="20">
        <v>1.920200071203E12</v>
      </c>
      <c r="K209" s="87" t="s">
        <v>2851</v>
      </c>
      <c r="L209" s="173" t="s">
        <v>2863</v>
      </c>
      <c r="M209" s="217" t="s">
        <v>1801</v>
      </c>
      <c r="N209" s="20" t="s">
        <v>155</v>
      </c>
      <c r="O209" s="144" t="s">
        <v>666</v>
      </c>
      <c r="P209" s="42">
        <v>6.24750162E8</v>
      </c>
      <c r="Q209" s="43"/>
      <c r="R209" s="45" t="s">
        <v>58</v>
      </c>
      <c r="S209" s="46"/>
      <c r="T209" s="66" t="s">
        <v>2864</v>
      </c>
      <c r="U209" s="53">
        <v>33622.0</v>
      </c>
      <c r="V209" s="31" t="s">
        <v>77</v>
      </c>
      <c r="W209" s="55">
        <f t="shared" si="2"/>
        <v>34</v>
      </c>
      <c r="X209" s="55" t="s">
        <v>98</v>
      </c>
      <c r="Y209" s="55" t="s">
        <v>428</v>
      </c>
      <c r="Z209" s="55" t="s">
        <v>2865</v>
      </c>
      <c r="AA209" s="58" t="s">
        <v>2866</v>
      </c>
      <c r="AB209" s="58" t="s">
        <v>2867</v>
      </c>
      <c r="AC209" s="55"/>
      <c r="AD209" s="55" t="s">
        <v>2868</v>
      </c>
      <c r="AE209" s="55" t="s">
        <v>2869</v>
      </c>
    </row>
    <row r="210">
      <c r="A210" s="103">
        <v>209.0</v>
      </c>
      <c r="B210" s="85" t="s">
        <v>349</v>
      </c>
      <c r="C210" s="83" t="s">
        <v>2870</v>
      </c>
      <c r="D210" s="86" t="s">
        <v>2871</v>
      </c>
      <c r="E210" s="37" t="str">
        <f t="shared" si="3"/>
        <v>ส.อ. ลิขิต ปัจฉิมะ</v>
      </c>
      <c r="F210" s="82" t="s">
        <v>353</v>
      </c>
      <c r="G210" s="83" t="s">
        <v>2872</v>
      </c>
      <c r="H210" s="86" t="s">
        <v>2873</v>
      </c>
      <c r="I210" s="20">
        <v>1.592300055E9</v>
      </c>
      <c r="J210" s="20">
        <v>1.609900309688E12</v>
      </c>
      <c r="K210" s="87" t="s">
        <v>2851</v>
      </c>
      <c r="L210" s="173" t="s">
        <v>2874</v>
      </c>
      <c r="M210" s="41" t="s">
        <v>1569</v>
      </c>
      <c r="N210" s="20" t="s">
        <v>85</v>
      </c>
      <c r="O210" s="144" t="s">
        <v>666</v>
      </c>
      <c r="P210" s="42">
        <v>9.06810397E8</v>
      </c>
      <c r="Q210" s="43"/>
      <c r="R210" s="45" t="s">
        <v>58</v>
      </c>
      <c r="S210" s="46"/>
      <c r="T210" s="66" t="s">
        <v>2875</v>
      </c>
      <c r="U210" s="53">
        <v>34699.0</v>
      </c>
      <c r="V210" s="31" t="s">
        <v>77</v>
      </c>
      <c r="W210" s="55">
        <f t="shared" si="2"/>
        <v>31</v>
      </c>
      <c r="X210" s="55" t="s">
        <v>98</v>
      </c>
      <c r="Y210" s="55" t="s">
        <v>428</v>
      </c>
      <c r="Z210" s="55" t="s">
        <v>2876</v>
      </c>
      <c r="AA210" s="58" t="s">
        <v>2877</v>
      </c>
      <c r="AB210" s="58" t="s">
        <v>2878</v>
      </c>
      <c r="AC210" s="55"/>
      <c r="AD210" s="55" t="s">
        <v>2879</v>
      </c>
      <c r="AE210" s="55" t="s">
        <v>2880</v>
      </c>
    </row>
    <row r="211">
      <c r="A211" s="103">
        <v>210.0</v>
      </c>
      <c r="B211" s="85" t="s">
        <v>349</v>
      </c>
      <c r="C211" s="83" t="s">
        <v>2881</v>
      </c>
      <c r="D211" s="86" t="s">
        <v>2882</v>
      </c>
      <c r="E211" s="37" t="str">
        <f t="shared" si="3"/>
        <v>ส.อ. สมรัก ผู้ใฝ่มงคล</v>
      </c>
      <c r="F211" s="82" t="s">
        <v>353</v>
      </c>
      <c r="G211" s="83" t="s">
        <v>2883</v>
      </c>
      <c r="H211" s="86" t="s">
        <v>2884</v>
      </c>
      <c r="I211" s="20">
        <v>1.594400246E9</v>
      </c>
      <c r="J211" s="20">
        <v>1.580400180697E12</v>
      </c>
      <c r="K211" s="87" t="s">
        <v>2851</v>
      </c>
      <c r="L211" s="173" t="s">
        <v>2885</v>
      </c>
      <c r="M211" s="41" t="s">
        <v>1569</v>
      </c>
      <c r="N211" s="20" t="s">
        <v>85</v>
      </c>
      <c r="O211" s="144" t="s">
        <v>666</v>
      </c>
      <c r="P211" s="42">
        <v>9.26700215E8</v>
      </c>
      <c r="Q211" s="43"/>
      <c r="R211" s="45" t="s">
        <v>58</v>
      </c>
      <c r="S211" s="46"/>
      <c r="T211" s="66" t="s">
        <v>2886</v>
      </c>
      <c r="U211" s="53">
        <v>35060.0</v>
      </c>
      <c r="V211" s="31" t="s">
        <v>77</v>
      </c>
      <c r="W211" s="55">
        <f t="shared" si="2"/>
        <v>30</v>
      </c>
      <c r="X211" s="55" t="s">
        <v>98</v>
      </c>
      <c r="Y211" s="55" t="s">
        <v>428</v>
      </c>
      <c r="Z211" s="55" t="s">
        <v>2744</v>
      </c>
      <c r="AA211" s="114" t="s">
        <v>2887</v>
      </c>
      <c r="AB211" s="58" t="s">
        <v>2888</v>
      </c>
      <c r="AC211" s="55"/>
      <c r="AD211" s="55" t="s">
        <v>2889</v>
      </c>
      <c r="AE211" s="55" t="s">
        <v>2890</v>
      </c>
    </row>
    <row r="212">
      <c r="A212" s="103">
        <v>211.0</v>
      </c>
      <c r="B212" s="85" t="s">
        <v>349</v>
      </c>
      <c r="C212" s="83" t="s">
        <v>2891</v>
      </c>
      <c r="D212" s="86" t="s">
        <v>2892</v>
      </c>
      <c r="E212" s="37" t="str">
        <f t="shared" si="3"/>
        <v>ส.อ. อัครวิทย์ หมากสุก</v>
      </c>
      <c r="F212" s="82" t="s">
        <v>353</v>
      </c>
      <c r="G212" s="83" t="s">
        <v>2893</v>
      </c>
      <c r="H212" s="86" t="s">
        <v>2894</v>
      </c>
      <c r="I212" s="20">
        <v>1.617501144E9</v>
      </c>
      <c r="J212" s="20">
        <v>1.301601143945E12</v>
      </c>
      <c r="K212" s="87" t="s">
        <v>2851</v>
      </c>
      <c r="L212" s="142" t="s">
        <v>2895</v>
      </c>
      <c r="M212" s="41" t="s">
        <v>658</v>
      </c>
      <c r="N212" s="20" t="s">
        <v>72</v>
      </c>
      <c r="O212" s="144" t="s">
        <v>666</v>
      </c>
      <c r="P212" s="42">
        <v>6.3148103E8</v>
      </c>
      <c r="Q212" s="43"/>
      <c r="R212" s="45" t="s">
        <v>58</v>
      </c>
      <c r="S212" s="46"/>
      <c r="T212" s="66" t="s">
        <v>2896</v>
      </c>
      <c r="U212" s="53">
        <v>35679.0</v>
      </c>
      <c r="V212" s="31" t="s">
        <v>77</v>
      </c>
      <c r="W212" s="55">
        <f t="shared" si="2"/>
        <v>29</v>
      </c>
      <c r="X212" s="55" t="s">
        <v>98</v>
      </c>
      <c r="Y212" s="55" t="s">
        <v>428</v>
      </c>
      <c r="Z212" s="55" t="s">
        <v>2897</v>
      </c>
      <c r="AA212" s="114" t="s">
        <v>2898</v>
      </c>
      <c r="AB212" s="58" t="s">
        <v>2899</v>
      </c>
      <c r="AC212" s="55"/>
      <c r="AD212" s="55" t="s">
        <v>2900</v>
      </c>
      <c r="AE212" s="55" t="s">
        <v>2901</v>
      </c>
    </row>
    <row r="213">
      <c r="A213" s="103">
        <v>212.0</v>
      </c>
      <c r="B213" s="85" t="s">
        <v>349</v>
      </c>
      <c r="C213" s="83" t="s">
        <v>2902</v>
      </c>
      <c r="D213" s="86" t="s">
        <v>2903</v>
      </c>
      <c r="E213" s="37" t="str">
        <f t="shared" si="3"/>
        <v>ส.อ. กฤษณ สุบิน</v>
      </c>
      <c r="F213" s="82" t="s">
        <v>353</v>
      </c>
      <c r="G213" s="83" t="s">
        <v>2904</v>
      </c>
      <c r="H213" s="86" t="s">
        <v>2905</v>
      </c>
      <c r="I213" s="20">
        <v>1.601001315E9</v>
      </c>
      <c r="J213" s="20">
        <v>1.360500256921E12</v>
      </c>
      <c r="K213" s="87" t="s">
        <v>2851</v>
      </c>
      <c r="L213" s="142" t="s">
        <v>2906</v>
      </c>
      <c r="M213" s="41" t="s">
        <v>658</v>
      </c>
      <c r="N213" s="20" t="s">
        <v>85</v>
      </c>
      <c r="O213" s="144" t="s">
        <v>666</v>
      </c>
      <c r="P213" s="42">
        <v>9.5648583E8</v>
      </c>
      <c r="Q213" s="43"/>
      <c r="R213" s="45" t="s">
        <v>58</v>
      </c>
      <c r="S213" s="46"/>
      <c r="T213" s="66" t="s">
        <v>2907</v>
      </c>
      <c r="U213" s="53">
        <v>35968.0</v>
      </c>
      <c r="V213" s="31" t="s">
        <v>77</v>
      </c>
      <c r="W213" s="55">
        <f t="shared" si="2"/>
        <v>28</v>
      </c>
      <c r="X213" s="55" t="s">
        <v>98</v>
      </c>
      <c r="Y213" s="55" t="s">
        <v>428</v>
      </c>
      <c r="Z213" s="55" t="s">
        <v>2772</v>
      </c>
      <c r="AA213" s="114" t="s">
        <v>2908</v>
      </c>
      <c r="AB213" s="58" t="s">
        <v>2909</v>
      </c>
      <c r="AC213" s="55"/>
      <c r="AD213" s="55" t="s">
        <v>2910</v>
      </c>
      <c r="AE213" s="55" t="s">
        <v>2911</v>
      </c>
    </row>
    <row r="214">
      <c r="A214" s="103">
        <v>213.0</v>
      </c>
      <c r="B214" s="85" t="s">
        <v>106</v>
      </c>
      <c r="C214" s="83" t="s">
        <v>2912</v>
      </c>
      <c r="D214" s="86" t="s">
        <v>2913</v>
      </c>
      <c r="E214" s="37" t="str">
        <f t="shared" si="3"/>
        <v>จ.ส.อ. ธีระพงษ์ ริกำแง</v>
      </c>
      <c r="F214" s="82" t="s">
        <v>111</v>
      </c>
      <c r="G214" s="83" t="s">
        <v>2914</v>
      </c>
      <c r="H214" s="86" t="s">
        <v>2915</v>
      </c>
      <c r="I214" s="20">
        <v>1.495500378E9</v>
      </c>
      <c r="J214" s="20">
        <v>1.470300015121E12</v>
      </c>
      <c r="K214" s="122" t="s">
        <v>899</v>
      </c>
      <c r="L214" s="154" t="s">
        <v>2916</v>
      </c>
      <c r="M214" s="41" t="s">
        <v>2917</v>
      </c>
      <c r="N214" s="18" t="s">
        <v>155</v>
      </c>
      <c r="O214" s="144" t="s">
        <v>666</v>
      </c>
      <c r="P214" s="42">
        <v>6.56045864E8</v>
      </c>
      <c r="Q214" s="43"/>
      <c r="R214" s="45" t="s">
        <v>58</v>
      </c>
      <c r="S214" s="46"/>
      <c r="T214" s="66" t="s">
        <v>2918</v>
      </c>
      <c r="U214" s="53">
        <v>31140.0</v>
      </c>
      <c r="V214" s="31" t="s">
        <v>77</v>
      </c>
      <c r="W214" s="55">
        <f t="shared" si="2"/>
        <v>41</v>
      </c>
      <c r="X214" s="55" t="s">
        <v>98</v>
      </c>
      <c r="Y214" s="55" t="s">
        <v>428</v>
      </c>
      <c r="Z214" s="58" t="s">
        <v>2919</v>
      </c>
      <c r="AA214" s="114" t="s">
        <v>2920</v>
      </c>
      <c r="AB214" s="58" t="s">
        <v>2921</v>
      </c>
      <c r="AC214" s="55"/>
      <c r="AD214" s="55" t="s">
        <v>2922</v>
      </c>
      <c r="AE214" s="55" t="s">
        <v>2923</v>
      </c>
    </row>
    <row r="215">
      <c r="A215" s="103">
        <v>214.0</v>
      </c>
      <c r="B215" s="85" t="s">
        <v>106</v>
      </c>
      <c r="C215" s="83" t="s">
        <v>2924</v>
      </c>
      <c r="D215" s="86" t="s">
        <v>2925</v>
      </c>
      <c r="E215" s="37" t="str">
        <f t="shared" si="3"/>
        <v>จ.ส.อ. ฤทธิเดช บุญรินทร์</v>
      </c>
      <c r="F215" s="82" t="s">
        <v>111</v>
      </c>
      <c r="G215" s="83" t="s">
        <v>2926</v>
      </c>
      <c r="H215" s="86" t="s">
        <v>2927</v>
      </c>
      <c r="I215" s="20">
        <v>1.575403558E9</v>
      </c>
      <c r="J215" s="20">
        <v>1.330300201228E12</v>
      </c>
      <c r="K215" s="87" t="s">
        <v>2928</v>
      </c>
      <c r="L215" s="142" t="s">
        <v>2929</v>
      </c>
      <c r="M215" s="41" t="s">
        <v>1878</v>
      </c>
      <c r="N215" s="20" t="s">
        <v>155</v>
      </c>
      <c r="O215" s="144" t="s">
        <v>666</v>
      </c>
      <c r="P215" s="42">
        <v>9.30936206E8</v>
      </c>
      <c r="Q215" s="43"/>
      <c r="R215" s="45" t="s">
        <v>58</v>
      </c>
      <c r="S215" s="46"/>
      <c r="T215" s="66" t="s">
        <v>2930</v>
      </c>
      <c r="U215" s="53">
        <v>35012.0</v>
      </c>
      <c r="V215" s="31" t="s">
        <v>77</v>
      </c>
      <c r="W215" s="55">
        <f t="shared" si="2"/>
        <v>30</v>
      </c>
      <c r="X215" s="55" t="s">
        <v>98</v>
      </c>
      <c r="Y215" s="55" t="s">
        <v>428</v>
      </c>
      <c r="Z215" s="55" t="s">
        <v>847</v>
      </c>
      <c r="AA215" s="58" t="s">
        <v>2931</v>
      </c>
      <c r="AB215" s="58" t="s">
        <v>2932</v>
      </c>
      <c r="AC215" s="55"/>
      <c r="AD215" s="55" t="s">
        <v>2933</v>
      </c>
      <c r="AE215" s="55" t="s">
        <v>2934</v>
      </c>
    </row>
    <row r="216">
      <c r="A216" s="103">
        <v>215.0</v>
      </c>
      <c r="B216" s="85" t="s">
        <v>349</v>
      </c>
      <c r="C216" s="83" t="s">
        <v>2935</v>
      </c>
      <c r="D216" s="86" t="s">
        <v>2936</v>
      </c>
      <c r="E216" s="37" t="str">
        <f t="shared" si="3"/>
        <v>ส.อ. สมเดช เมืองเครือจันทร์</v>
      </c>
      <c r="F216" s="82" t="s">
        <v>353</v>
      </c>
      <c r="G216" s="83" t="s">
        <v>2937</v>
      </c>
      <c r="H216" s="86" t="s">
        <v>2938</v>
      </c>
      <c r="I216" s="20">
        <v>1.606901298E9</v>
      </c>
      <c r="J216" s="20">
        <v>1.53990050645E12</v>
      </c>
      <c r="K216" s="87" t="s">
        <v>2939</v>
      </c>
      <c r="L216" s="142" t="s">
        <v>2885</v>
      </c>
      <c r="M216" s="41" t="s">
        <v>1234</v>
      </c>
      <c r="N216" s="20" t="s">
        <v>72</v>
      </c>
      <c r="O216" s="144" t="s">
        <v>666</v>
      </c>
      <c r="P216" s="42">
        <v>6.5480349E8</v>
      </c>
      <c r="Q216" s="43"/>
      <c r="R216" s="45" t="s">
        <v>58</v>
      </c>
      <c r="S216" s="46"/>
      <c r="T216" s="66" t="s">
        <v>2940</v>
      </c>
      <c r="U216" s="53">
        <v>34937.0</v>
      </c>
      <c r="V216" s="31" t="s">
        <v>77</v>
      </c>
      <c r="W216" s="55">
        <f t="shared" si="2"/>
        <v>31</v>
      </c>
      <c r="X216" s="55" t="s">
        <v>98</v>
      </c>
      <c r="Y216" s="55" t="s">
        <v>428</v>
      </c>
      <c r="Z216" s="55" t="s">
        <v>791</v>
      </c>
      <c r="AA216" s="114" t="s">
        <v>2941</v>
      </c>
      <c r="AB216" s="58" t="s">
        <v>2942</v>
      </c>
      <c r="AC216" s="55"/>
      <c r="AD216" s="55" t="s">
        <v>2943</v>
      </c>
      <c r="AE216" s="55" t="s">
        <v>2944</v>
      </c>
    </row>
    <row r="217">
      <c r="A217" s="103">
        <v>216.0</v>
      </c>
      <c r="B217" s="85" t="s">
        <v>349</v>
      </c>
      <c r="C217" s="83" t="s">
        <v>2945</v>
      </c>
      <c r="D217" s="86" t="s">
        <v>2294</v>
      </c>
      <c r="E217" s="37" t="str">
        <f t="shared" si="3"/>
        <v>ส.อ. ศักดิ์ชัย ชำนาญ</v>
      </c>
      <c r="F217" s="82" t="s">
        <v>353</v>
      </c>
      <c r="G217" s="83" t="s">
        <v>2946</v>
      </c>
      <c r="H217" s="86" t="s">
        <v>2296</v>
      </c>
      <c r="I217" s="20">
        <v>1.615401277E9</v>
      </c>
      <c r="J217" s="20">
        <v>1.330500385039E12</v>
      </c>
      <c r="K217" s="122" t="s">
        <v>2851</v>
      </c>
      <c r="L217" s="142" t="s">
        <v>2947</v>
      </c>
      <c r="M217" s="41" t="s">
        <v>563</v>
      </c>
      <c r="N217" s="20" t="s">
        <v>85</v>
      </c>
      <c r="O217" s="144" t="s">
        <v>666</v>
      </c>
      <c r="P217" s="117" t="s">
        <v>2948</v>
      </c>
      <c r="Q217" s="43"/>
      <c r="R217" s="45" t="s">
        <v>58</v>
      </c>
      <c r="S217" s="46"/>
      <c r="T217" s="66" t="s">
        <v>2949</v>
      </c>
      <c r="U217" s="53">
        <v>36304.0</v>
      </c>
      <c r="V217" s="31" t="s">
        <v>77</v>
      </c>
      <c r="W217" s="55">
        <f t="shared" si="2"/>
        <v>27</v>
      </c>
      <c r="X217" s="55" t="s">
        <v>98</v>
      </c>
      <c r="Y217" s="55" t="s">
        <v>428</v>
      </c>
      <c r="Z217" s="55" t="s">
        <v>2950</v>
      </c>
      <c r="AA217" s="58" t="s">
        <v>2951</v>
      </c>
      <c r="AB217" s="58" t="s">
        <v>2952</v>
      </c>
      <c r="AC217" s="55"/>
      <c r="AD217" s="55" t="s">
        <v>2953</v>
      </c>
      <c r="AE217" s="55" t="s">
        <v>2954</v>
      </c>
    </row>
    <row r="218">
      <c r="A218" s="103">
        <v>217.0</v>
      </c>
      <c r="B218" s="204" t="s">
        <v>349</v>
      </c>
      <c r="C218" s="83" t="s">
        <v>2624</v>
      </c>
      <c r="D218" s="86" t="s">
        <v>2955</v>
      </c>
      <c r="E218" s="37" t="str">
        <f t="shared" si="3"/>
        <v>ส.อ. วิศรุต แว่นตา</v>
      </c>
      <c r="F218" s="99" t="s">
        <v>353</v>
      </c>
      <c r="G218" s="83" t="s">
        <v>2626</v>
      </c>
      <c r="H218" s="86" t="s">
        <v>2956</v>
      </c>
      <c r="I218" s="20">
        <v>1.613800335E9</v>
      </c>
      <c r="J218" s="20">
        <v>1.600100699742E12</v>
      </c>
      <c r="K218" s="87" t="s">
        <v>2851</v>
      </c>
      <c r="L218" s="142" t="s">
        <v>2957</v>
      </c>
      <c r="M218" s="41" t="s">
        <v>2958</v>
      </c>
      <c r="N218" s="20" t="s">
        <v>72</v>
      </c>
      <c r="O218" s="144" t="s">
        <v>666</v>
      </c>
      <c r="P218" s="42">
        <v>9.29400292E8</v>
      </c>
      <c r="Q218" s="43"/>
      <c r="R218" s="45" t="s">
        <v>58</v>
      </c>
      <c r="S218" s="46"/>
      <c r="T218" s="66" t="s">
        <v>2959</v>
      </c>
      <c r="U218" s="57">
        <v>35441.0</v>
      </c>
      <c r="V218" s="31" t="s">
        <v>77</v>
      </c>
      <c r="W218" s="55">
        <f t="shared" si="2"/>
        <v>29</v>
      </c>
      <c r="X218" s="55" t="s">
        <v>98</v>
      </c>
      <c r="Y218" s="55" t="s">
        <v>428</v>
      </c>
      <c r="Z218" s="55" t="s">
        <v>1384</v>
      </c>
      <c r="AA218" s="114" t="s">
        <v>2960</v>
      </c>
      <c r="AB218" s="58" t="s">
        <v>2961</v>
      </c>
      <c r="AC218" s="55"/>
      <c r="AD218" s="55" t="s">
        <v>2962</v>
      </c>
      <c r="AE218" s="55" t="s">
        <v>2963</v>
      </c>
    </row>
    <row r="219">
      <c r="A219" s="103">
        <v>218.0</v>
      </c>
      <c r="B219" s="85" t="s">
        <v>349</v>
      </c>
      <c r="C219" s="83" t="s">
        <v>2964</v>
      </c>
      <c r="D219" s="86" t="s">
        <v>2965</v>
      </c>
      <c r="E219" s="37" t="str">
        <f t="shared" si="3"/>
        <v>ส.อ. พงษ์สิทธิ์ สิทธิวงค์</v>
      </c>
      <c r="F219" s="82" t="s">
        <v>353</v>
      </c>
      <c r="G219" s="83" t="s">
        <v>2966</v>
      </c>
      <c r="H219" s="86" t="s">
        <v>2967</v>
      </c>
      <c r="I219" s="20">
        <v>1.605200285E9</v>
      </c>
      <c r="J219" s="20">
        <v>1.510100282524E12</v>
      </c>
      <c r="K219" s="87" t="s">
        <v>2851</v>
      </c>
      <c r="L219" s="148" t="s">
        <v>2968</v>
      </c>
      <c r="M219" s="41" t="s">
        <v>563</v>
      </c>
      <c r="N219" s="20" t="s">
        <v>85</v>
      </c>
      <c r="O219" s="144" t="s">
        <v>666</v>
      </c>
      <c r="P219" s="42">
        <v>9.56019312E8</v>
      </c>
      <c r="Q219" s="43"/>
      <c r="R219" s="45" t="s">
        <v>58</v>
      </c>
      <c r="S219" s="46"/>
      <c r="T219" s="66" t="s">
        <v>2969</v>
      </c>
      <c r="U219" s="53">
        <v>35351.0</v>
      </c>
      <c r="V219" s="31" t="s">
        <v>77</v>
      </c>
      <c r="W219" s="55">
        <f t="shared" si="2"/>
        <v>29</v>
      </c>
      <c r="X219" s="55" t="s">
        <v>98</v>
      </c>
      <c r="Y219" s="55" t="s">
        <v>428</v>
      </c>
      <c r="Z219" s="55" t="s">
        <v>2970</v>
      </c>
      <c r="AA219" s="58" t="s">
        <v>2971</v>
      </c>
      <c r="AB219" s="58" t="s">
        <v>2972</v>
      </c>
      <c r="AC219" s="55"/>
      <c r="AD219" s="55" t="s">
        <v>2973</v>
      </c>
      <c r="AE219" s="55" t="s">
        <v>2974</v>
      </c>
    </row>
    <row r="220">
      <c r="A220" s="103">
        <v>219.0</v>
      </c>
      <c r="B220" s="85" t="s">
        <v>349</v>
      </c>
      <c r="C220" s="83" t="s">
        <v>2975</v>
      </c>
      <c r="D220" s="86" t="s">
        <v>2976</v>
      </c>
      <c r="E220" s="37" t="str">
        <f t="shared" si="3"/>
        <v>ส.อ. ณัฎฐนันท์ ขันธแก้ว</v>
      </c>
      <c r="F220" s="82" t="s">
        <v>353</v>
      </c>
      <c r="G220" s="83" t="s">
        <v>2977</v>
      </c>
      <c r="H220" s="86" t="s">
        <v>2978</v>
      </c>
      <c r="I220" s="20">
        <v>1.613900019E9</v>
      </c>
      <c r="J220" s="20">
        <v>1.769900487101E12</v>
      </c>
      <c r="K220" s="40" t="s">
        <v>2851</v>
      </c>
      <c r="L220" s="142" t="s">
        <v>2979</v>
      </c>
      <c r="M220" s="41" t="s">
        <v>2762</v>
      </c>
      <c r="N220" s="20" t="s">
        <v>72</v>
      </c>
      <c r="O220" s="144" t="s">
        <v>666</v>
      </c>
      <c r="P220" s="42">
        <v>9.86167496E8</v>
      </c>
      <c r="Q220" s="43"/>
      <c r="R220" s="45" t="s">
        <v>58</v>
      </c>
      <c r="S220" s="46"/>
      <c r="T220" s="66" t="s">
        <v>2980</v>
      </c>
      <c r="U220" s="53">
        <v>35771.0</v>
      </c>
      <c r="V220" s="31" t="s">
        <v>77</v>
      </c>
      <c r="W220" s="55">
        <f t="shared" si="2"/>
        <v>28</v>
      </c>
      <c r="X220" s="55" t="s">
        <v>98</v>
      </c>
      <c r="Y220" s="55" t="s">
        <v>428</v>
      </c>
      <c r="Z220" s="55" t="s">
        <v>2981</v>
      </c>
      <c r="AA220" s="58" t="s">
        <v>2982</v>
      </c>
      <c r="AB220" s="58" t="s">
        <v>2983</v>
      </c>
      <c r="AC220" s="55"/>
      <c r="AD220" s="55" t="s">
        <v>2984</v>
      </c>
      <c r="AE220" s="55" t="s">
        <v>2985</v>
      </c>
    </row>
    <row r="221">
      <c r="A221" s="103">
        <v>220.0</v>
      </c>
      <c r="B221" s="85" t="s">
        <v>322</v>
      </c>
      <c r="C221" s="83" t="s">
        <v>2986</v>
      </c>
      <c r="D221" s="86" t="s">
        <v>2987</v>
      </c>
      <c r="E221" s="37" t="str">
        <f t="shared" si="3"/>
        <v>ส.ท. เจนณรงค์ สุขวดี</v>
      </c>
      <c r="F221" s="82" t="s">
        <v>603</v>
      </c>
      <c r="G221" s="83" t="s">
        <v>2988</v>
      </c>
      <c r="H221" s="86" t="s">
        <v>2989</v>
      </c>
      <c r="I221" s="20">
        <v>1.594901677E9</v>
      </c>
      <c r="J221" s="20">
        <v>1.700900029201E12</v>
      </c>
      <c r="K221" s="40" t="s">
        <v>2851</v>
      </c>
      <c r="L221" s="142" t="s">
        <v>2990</v>
      </c>
      <c r="M221" s="41" t="s">
        <v>2991</v>
      </c>
      <c r="N221" s="20" t="s">
        <v>72</v>
      </c>
      <c r="O221" s="144" t="s">
        <v>666</v>
      </c>
      <c r="P221" s="42">
        <v>9.80746599E8</v>
      </c>
      <c r="Q221" s="43"/>
      <c r="R221" s="45" t="s">
        <v>58</v>
      </c>
      <c r="S221" s="46"/>
      <c r="T221" s="66" t="s">
        <v>2992</v>
      </c>
      <c r="U221" s="53">
        <v>35724.0</v>
      </c>
      <c r="V221" s="31" t="s">
        <v>77</v>
      </c>
      <c r="W221" s="55">
        <f t="shared" si="2"/>
        <v>28</v>
      </c>
      <c r="X221" s="55" t="s">
        <v>98</v>
      </c>
      <c r="Y221" s="55" t="s">
        <v>428</v>
      </c>
      <c r="Z221" s="55" t="s">
        <v>72</v>
      </c>
      <c r="AA221" s="114" t="s">
        <v>2993</v>
      </c>
      <c r="AB221" s="58" t="s">
        <v>2994</v>
      </c>
      <c r="AC221" s="55"/>
      <c r="AD221" s="55" t="s">
        <v>2995</v>
      </c>
      <c r="AE221" s="55" t="s">
        <v>2996</v>
      </c>
    </row>
    <row r="222">
      <c r="A222" s="103">
        <v>221.0</v>
      </c>
      <c r="B222" s="85" t="s">
        <v>349</v>
      </c>
      <c r="C222" s="83" t="s">
        <v>2997</v>
      </c>
      <c r="D222" s="86" t="s">
        <v>2998</v>
      </c>
      <c r="E222" s="37" t="str">
        <f t="shared" si="3"/>
        <v>ส.อ. วัชราพงษ์ ชูจิตร</v>
      </c>
      <c r="F222" s="82" t="s">
        <v>353</v>
      </c>
      <c r="G222" s="83" t="s">
        <v>2999</v>
      </c>
      <c r="H222" s="86" t="s">
        <v>3000</v>
      </c>
      <c r="I222" s="20">
        <v>1.605001603E9</v>
      </c>
      <c r="J222" s="20">
        <v>1.160100503192E12</v>
      </c>
      <c r="K222" s="40" t="s">
        <v>2851</v>
      </c>
      <c r="L222" s="142" t="s">
        <v>3001</v>
      </c>
      <c r="M222" s="41" t="s">
        <v>1936</v>
      </c>
      <c r="N222" s="20" t="s">
        <v>72</v>
      </c>
      <c r="O222" s="144" t="s">
        <v>666</v>
      </c>
      <c r="P222" s="42">
        <v>8.92399026E8</v>
      </c>
      <c r="Q222" s="43"/>
      <c r="R222" s="45" t="s">
        <v>58</v>
      </c>
      <c r="S222" s="46"/>
      <c r="T222" s="66" t="s">
        <v>3002</v>
      </c>
      <c r="U222" s="53">
        <v>35075.0</v>
      </c>
      <c r="V222" s="31" t="s">
        <v>77</v>
      </c>
      <c r="W222" s="55">
        <f t="shared" si="2"/>
        <v>30</v>
      </c>
      <c r="X222" s="55" t="s">
        <v>98</v>
      </c>
      <c r="Y222" s="55" t="s">
        <v>428</v>
      </c>
      <c r="Z222" s="55" t="s">
        <v>1925</v>
      </c>
      <c r="AA222" s="58" t="s">
        <v>3003</v>
      </c>
      <c r="AB222" s="58" t="s">
        <v>3004</v>
      </c>
      <c r="AC222" s="55"/>
      <c r="AD222" s="55" t="s">
        <v>3005</v>
      </c>
      <c r="AE222" s="55" t="s">
        <v>3006</v>
      </c>
    </row>
    <row r="223">
      <c r="A223" s="103">
        <v>222.0</v>
      </c>
      <c r="B223" s="85" t="s">
        <v>106</v>
      </c>
      <c r="C223" s="83" t="s">
        <v>3007</v>
      </c>
      <c r="D223" s="86" t="s">
        <v>3008</v>
      </c>
      <c r="E223" s="37" t="str">
        <f t="shared" si="3"/>
        <v>จ.ส.อ. ทรงศักดิ์ ก่ำต้าว</v>
      </c>
      <c r="F223" s="82" t="s">
        <v>111</v>
      </c>
      <c r="G223" s="83" t="s">
        <v>3009</v>
      </c>
      <c r="H223" s="86" t="s">
        <v>3010</v>
      </c>
      <c r="I223" s="20">
        <v>1.522601087E9</v>
      </c>
      <c r="J223" s="20">
        <v>1.100200426947E12</v>
      </c>
      <c r="K223" s="87" t="s">
        <v>899</v>
      </c>
      <c r="L223" s="86" t="s">
        <v>3011</v>
      </c>
      <c r="M223" s="41" t="s">
        <v>1171</v>
      </c>
      <c r="N223" s="18" t="s">
        <v>155</v>
      </c>
      <c r="O223" s="144" t="s">
        <v>666</v>
      </c>
      <c r="P223" s="42">
        <v>6.41478145E8</v>
      </c>
      <c r="Q223" s="43"/>
      <c r="R223" s="45" t="s">
        <v>58</v>
      </c>
      <c r="S223" s="46"/>
      <c r="T223" s="66" t="s">
        <v>3012</v>
      </c>
      <c r="U223" s="53">
        <v>32458.0</v>
      </c>
      <c r="V223" s="31" t="s">
        <v>77</v>
      </c>
      <c r="W223" s="55">
        <f t="shared" si="2"/>
        <v>37</v>
      </c>
      <c r="X223" s="55" t="s">
        <v>98</v>
      </c>
      <c r="Y223" s="55" t="s">
        <v>428</v>
      </c>
      <c r="Z223" s="55" t="s">
        <v>3013</v>
      </c>
      <c r="AA223" s="58" t="s">
        <v>3014</v>
      </c>
      <c r="AB223" s="58" t="s">
        <v>3015</v>
      </c>
      <c r="AC223" s="55"/>
      <c r="AD223" s="55" t="s">
        <v>3016</v>
      </c>
      <c r="AE223" s="55" t="s">
        <v>3017</v>
      </c>
    </row>
    <row r="224">
      <c r="A224" s="103">
        <v>223.0</v>
      </c>
      <c r="B224" s="204" t="s">
        <v>349</v>
      </c>
      <c r="C224" s="83" t="s">
        <v>3018</v>
      </c>
      <c r="D224" s="86" t="s">
        <v>3019</v>
      </c>
      <c r="E224" s="37" t="str">
        <f t="shared" si="3"/>
        <v>ส.อ. สราวุธ แสงอรุณ</v>
      </c>
      <c r="F224" s="99" t="s">
        <v>353</v>
      </c>
      <c r="G224" s="83" t="s">
        <v>3020</v>
      </c>
      <c r="H224" s="86" t="s">
        <v>3021</v>
      </c>
      <c r="I224" s="20">
        <v>1.540400157E9</v>
      </c>
      <c r="J224" s="20">
        <v>1.620700049943E12</v>
      </c>
      <c r="K224" s="87" t="s">
        <v>2928</v>
      </c>
      <c r="L224" s="86" t="s">
        <v>3022</v>
      </c>
      <c r="M224" s="41" t="s">
        <v>3023</v>
      </c>
      <c r="N224" s="18" t="s">
        <v>72</v>
      </c>
      <c r="O224" s="144" t="s">
        <v>666</v>
      </c>
      <c r="P224" s="42">
        <v>9.02896522E8</v>
      </c>
      <c r="Q224" s="43"/>
      <c r="R224" s="45" t="s">
        <v>58</v>
      </c>
      <c r="S224" s="46"/>
      <c r="T224" s="66" t="s">
        <v>3024</v>
      </c>
      <c r="U224" s="53">
        <v>33004.0</v>
      </c>
      <c r="V224" s="157" t="s">
        <v>203</v>
      </c>
      <c r="W224" s="55">
        <f t="shared" si="2"/>
        <v>36</v>
      </c>
      <c r="X224" s="55" t="s">
        <v>98</v>
      </c>
      <c r="Y224" s="55" t="s">
        <v>428</v>
      </c>
      <c r="Z224" s="55" t="s">
        <v>3025</v>
      </c>
      <c r="AA224" s="58" t="s">
        <v>3026</v>
      </c>
      <c r="AB224" s="58" t="s">
        <v>3027</v>
      </c>
      <c r="AC224" s="55"/>
      <c r="AD224" s="55" t="s">
        <v>3028</v>
      </c>
      <c r="AE224" s="55" t="s">
        <v>3029</v>
      </c>
    </row>
    <row r="225">
      <c r="A225" s="103">
        <v>224.0</v>
      </c>
      <c r="B225" s="85" t="s">
        <v>322</v>
      </c>
      <c r="C225" s="83" t="s">
        <v>710</v>
      </c>
      <c r="D225" s="86" t="s">
        <v>3030</v>
      </c>
      <c r="E225" s="37" t="str">
        <f t="shared" si="3"/>
        <v>ส.ท. ธนพล แสงโชติ</v>
      </c>
      <c r="F225" s="82" t="s">
        <v>603</v>
      </c>
      <c r="G225" s="83" t="s">
        <v>3031</v>
      </c>
      <c r="H225" s="86" t="s">
        <v>3032</v>
      </c>
      <c r="I225" s="20">
        <v>1.602800122E9</v>
      </c>
      <c r="J225" s="20">
        <v>1.31990050954E12</v>
      </c>
      <c r="K225" s="87" t="s">
        <v>2939</v>
      </c>
      <c r="L225" s="86" t="s">
        <v>3033</v>
      </c>
      <c r="M225" s="41" t="s">
        <v>3023</v>
      </c>
      <c r="N225" s="18" t="s">
        <v>72</v>
      </c>
      <c r="O225" s="144" t="s">
        <v>666</v>
      </c>
      <c r="P225" s="42">
        <v>6.40898583E8</v>
      </c>
      <c r="Q225" s="43"/>
      <c r="R225" s="45" t="s">
        <v>58</v>
      </c>
      <c r="S225" s="46"/>
      <c r="T225" s="66" t="s">
        <v>3034</v>
      </c>
      <c r="U225" s="53">
        <v>35345.0</v>
      </c>
      <c r="V225" s="31" t="s">
        <v>77</v>
      </c>
      <c r="W225" s="55">
        <f t="shared" si="2"/>
        <v>30</v>
      </c>
      <c r="X225" s="55" t="s">
        <v>98</v>
      </c>
      <c r="Y225" s="55" t="s">
        <v>428</v>
      </c>
      <c r="Z225" s="55" t="s">
        <v>3035</v>
      </c>
      <c r="AA225" s="58" t="s">
        <v>3036</v>
      </c>
      <c r="AB225" s="58" t="s">
        <v>3037</v>
      </c>
      <c r="AC225" s="55"/>
      <c r="AD225" s="55" t="s">
        <v>3038</v>
      </c>
      <c r="AE225" s="55" t="s">
        <v>3039</v>
      </c>
    </row>
    <row r="226">
      <c r="A226" s="103">
        <v>225.0</v>
      </c>
      <c r="B226" s="85" t="s">
        <v>349</v>
      </c>
      <c r="C226" s="83" t="s">
        <v>3040</v>
      </c>
      <c r="D226" s="86" t="s">
        <v>3041</v>
      </c>
      <c r="E226" s="37" t="str">
        <f t="shared" si="3"/>
        <v>ส.อ. สัมพันธ์ ศุภไตรภพ</v>
      </c>
      <c r="F226" s="82" t="s">
        <v>353</v>
      </c>
      <c r="G226" s="83" t="s">
        <v>3042</v>
      </c>
      <c r="H226" s="86" t="s">
        <v>3043</v>
      </c>
      <c r="I226" s="20">
        <v>1.617500481E9</v>
      </c>
      <c r="J226" s="20">
        <v>1.240400091671E12</v>
      </c>
      <c r="K226" s="87" t="s">
        <v>2851</v>
      </c>
      <c r="L226" s="86" t="s">
        <v>3044</v>
      </c>
      <c r="M226" s="41" t="s">
        <v>1276</v>
      </c>
      <c r="N226" s="18" t="s">
        <v>85</v>
      </c>
      <c r="O226" s="144" t="s">
        <v>666</v>
      </c>
      <c r="P226" s="42">
        <v>9.83501635E8</v>
      </c>
      <c r="Q226" s="43"/>
      <c r="R226" s="45" t="s">
        <v>58</v>
      </c>
      <c r="S226" s="46"/>
      <c r="T226" s="66" t="s">
        <v>3045</v>
      </c>
      <c r="U226" s="53">
        <v>35550.0</v>
      </c>
      <c r="V226" s="31" t="s">
        <v>77</v>
      </c>
      <c r="W226" s="55">
        <f t="shared" si="2"/>
        <v>29</v>
      </c>
      <c r="X226" s="55" t="s">
        <v>98</v>
      </c>
      <c r="Y226" s="55" t="s">
        <v>428</v>
      </c>
      <c r="Z226" s="55" t="s">
        <v>3046</v>
      </c>
      <c r="AA226" s="55"/>
      <c r="AB226" s="55"/>
      <c r="AC226" s="55"/>
      <c r="AD226" s="55" t="s">
        <v>3047</v>
      </c>
      <c r="AE226" s="55" t="s">
        <v>3048</v>
      </c>
    </row>
    <row r="227">
      <c r="A227" s="103">
        <v>226.0</v>
      </c>
      <c r="B227" s="85" t="s">
        <v>322</v>
      </c>
      <c r="C227" s="83" t="s">
        <v>3049</v>
      </c>
      <c r="D227" s="86" t="s">
        <v>3050</v>
      </c>
      <c r="E227" s="37" t="str">
        <f t="shared" si="3"/>
        <v>ส.ท. เทิดศักดิ์ สังข์พิชัย</v>
      </c>
      <c r="F227" s="82" t="s">
        <v>603</v>
      </c>
      <c r="G227" s="83" t="s">
        <v>3051</v>
      </c>
      <c r="H227" s="86" t="s">
        <v>3052</v>
      </c>
      <c r="I227" s="20">
        <v>1.626401635E9</v>
      </c>
      <c r="J227" s="20">
        <v>1.729900530049E12</v>
      </c>
      <c r="K227" s="87" t="s">
        <v>2851</v>
      </c>
      <c r="L227" s="86" t="s">
        <v>3053</v>
      </c>
      <c r="M227" s="41" t="s">
        <v>2085</v>
      </c>
      <c r="N227" s="18" t="s">
        <v>72</v>
      </c>
      <c r="O227" s="144" t="s">
        <v>666</v>
      </c>
      <c r="P227" s="42">
        <v>9.56407384E8</v>
      </c>
      <c r="Q227" s="43"/>
      <c r="R227" s="45" t="s">
        <v>58</v>
      </c>
      <c r="S227" s="46"/>
      <c r="T227" s="66" t="s">
        <v>3054</v>
      </c>
      <c r="U227" s="53">
        <v>36748.0</v>
      </c>
      <c r="V227" s="31" t="s">
        <v>77</v>
      </c>
      <c r="W227" s="55">
        <f t="shared" si="2"/>
        <v>26</v>
      </c>
      <c r="X227" s="55" t="s">
        <v>98</v>
      </c>
      <c r="Y227" s="55" t="s">
        <v>428</v>
      </c>
      <c r="Z227" s="55" t="s">
        <v>3055</v>
      </c>
      <c r="AA227" s="58" t="s">
        <v>3056</v>
      </c>
      <c r="AB227" s="58" t="s">
        <v>3057</v>
      </c>
      <c r="AC227" s="55"/>
      <c r="AD227" s="55" t="s">
        <v>3058</v>
      </c>
      <c r="AE227" s="55" t="s">
        <v>3059</v>
      </c>
    </row>
    <row r="228">
      <c r="A228" s="103">
        <v>227.0</v>
      </c>
      <c r="B228" s="85" t="s">
        <v>322</v>
      </c>
      <c r="C228" s="83" t="s">
        <v>3060</v>
      </c>
      <c r="D228" s="86" t="s">
        <v>3061</v>
      </c>
      <c r="E228" s="37" t="str">
        <f t="shared" si="3"/>
        <v>ส.ท. ศิรณัฏฐ จันทร์ฤกษ์</v>
      </c>
      <c r="F228" s="82" t="s">
        <v>603</v>
      </c>
      <c r="G228" s="83" t="s">
        <v>3062</v>
      </c>
      <c r="H228" s="86" t="s">
        <v>3063</v>
      </c>
      <c r="I228" s="20">
        <v>3.625000041E9</v>
      </c>
      <c r="J228" s="20">
        <v>1.160100607401E12</v>
      </c>
      <c r="K228" s="152" t="s">
        <v>2851</v>
      </c>
      <c r="L228" s="86" t="s">
        <v>3064</v>
      </c>
      <c r="M228" s="41" t="s">
        <v>2085</v>
      </c>
      <c r="N228" s="18" t="s">
        <v>72</v>
      </c>
      <c r="O228" s="144" t="s">
        <v>666</v>
      </c>
      <c r="P228" s="42">
        <v>9.88305307E8</v>
      </c>
      <c r="Q228" s="43"/>
      <c r="R228" s="45" t="s">
        <v>58</v>
      </c>
      <c r="S228" s="46"/>
      <c r="T228" s="66" t="s">
        <v>3065</v>
      </c>
      <c r="U228" s="53">
        <v>36006.0</v>
      </c>
      <c r="V228" s="31" t="s">
        <v>77</v>
      </c>
      <c r="W228" s="55">
        <f t="shared" si="2"/>
        <v>28</v>
      </c>
      <c r="X228" s="55" t="s">
        <v>98</v>
      </c>
      <c r="Y228" s="55" t="s">
        <v>428</v>
      </c>
      <c r="Z228" s="55" t="s">
        <v>3066</v>
      </c>
      <c r="AA228" s="58" t="s">
        <v>3067</v>
      </c>
      <c r="AB228" s="58" t="s">
        <v>3068</v>
      </c>
      <c r="AC228" s="55"/>
      <c r="AD228" s="55" t="s">
        <v>3069</v>
      </c>
      <c r="AE228" s="55" t="s">
        <v>3070</v>
      </c>
    </row>
    <row r="229">
      <c r="A229" s="103">
        <v>228.0</v>
      </c>
      <c r="B229" s="85" t="s">
        <v>322</v>
      </c>
      <c r="C229" s="83" t="s">
        <v>3071</v>
      </c>
      <c r="D229" s="86" t="s">
        <v>3072</v>
      </c>
      <c r="E229" s="37" t="str">
        <f t="shared" si="3"/>
        <v>ส.ท. จอมพล ตัณฑิกุล</v>
      </c>
      <c r="F229" s="82" t="s">
        <v>603</v>
      </c>
      <c r="G229" s="83" t="s">
        <v>3073</v>
      </c>
      <c r="H229" s="86" t="s">
        <v>3074</v>
      </c>
      <c r="I229" s="20">
        <v>1.647800002E9</v>
      </c>
      <c r="J229" s="20">
        <v>1.47990052517E12</v>
      </c>
      <c r="K229" s="152" t="s">
        <v>2851</v>
      </c>
      <c r="L229" s="86" t="s">
        <v>3033</v>
      </c>
      <c r="M229" s="41" t="s">
        <v>2991</v>
      </c>
      <c r="N229" s="18" t="s">
        <v>85</v>
      </c>
      <c r="O229" s="144" t="s">
        <v>666</v>
      </c>
      <c r="P229" s="42">
        <v>6.45829819E8</v>
      </c>
      <c r="Q229" s="43"/>
      <c r="R229" s="45" t="s">
        <v>58</v>
      </c>
      <c r="S229" s="46"/>
      <c r="T229" s="66" t="s">
        <v>3075</v>
      </c>
      <c r="U229" s="53">
        <v>37385.0</v>
      </c>
      <c r="V229" s="31" t="s">
        <v>77</v>
      </c>
      <c r="W229" s="55">
        <f t="shared" si="2"/>
        <v>24</v>
      </c>
      <c r="X229" s="55" t="s">
        <v>98</v>
      </c>
      <c r="Y229" s="55" t="s">
        <v>428</v>
      </c>
      <c r="Z229" s="55" t="s">
        <v>3076</v>
      </c>
      <c r="AA229" s="114" t="s">
        <v>3077</v>
      </c>
      <c r="AB229" s="58" t="s">
        <v>3078</v>
      </c>
      <c r="AC229" s="55"/>
      <c r="AD229" s="55" t="s">
        <v>3079</v>
      </c>
      <c r="AE229" s="55" t="s">
        <v>3080</v>
      </c>
    </row>
    <row r="230">
      <c r="A230" s="103">
        <v>229.0</v>
      </c>
      <c r="B230" s="204" t="s">
        <v>349</v>
      </c>
      <c r="C230" s="83" t="s">
        <v>3081</v>
      </c>
      <c r="D230" s="86" t="s">
        <v>3082</v>
      </c>
      <c r="E230" s="37" t="str">
        <f t="shared" si="3"/>
        <v>ส.อ. ปัญญา ฤทธิ์ทรงเมือง</v>
      </c>
      <c r="F230" s="99" t="s">
        <v>353</v>
      </c>
      <c r="G230" s="83" t="s">
        <v>3083</v>
      </c>
      <c r="H230" s="86" t="s">
        <v>3084</v>
      </c>
      <c r="I230" s="20">
        <v>1.581601205E9</v>
      </c>
      <c r="J230" s="20">
        <v>1.639900211688E12</v>
      </c>
      <c r="K230" s="152" t="s">
        <v>2851</v>
      </c>
      <c r="L230" s="86" t="s">
        <v>3085</v>
      </c>
      <c r="M230" s="41" t="s">
        <v>2085</v>
      </c>
      <c r="N230" s="18" t="s">
        <v>155</v>
      </c>
      <c r="O230" s="144" t="s">
        <v>666</v>
      </c>
      <c r="P230" s="42">
        <v>9.21961925E8</v>
      </c>
      <c r="Q230" s="43"/>
      <c r="R230" s="45" t="s">
        <v>58</v>
      </c>
      <c r="S230" s="46"/>
      <c r="T230" s="66" t="s">
        <v>3086</v>
      </c>
      <c r="U230" s="53">
        <v>34648.0</v>
      </c>
      <c r="V230" s="31" t="s">
        <v>77</v>
      </c>
      <c r="W230" s="55">
        <f t="shared" si="2"/>
        <v>31</v>
      </c>
      <c r="X230" s="55" t="s">
        <v>98</v>
      </c>
      <c r="Y230" s="55" t="s">
        <v>428</v>
      </c>
      <c r="Z230" s="55" t="s">
        <v>1621</v>
      </c>
      <c r="AA230" s="58" t="s">
        <v>3087</v>
      </c>
      <c r="AB230" s="58" t="s">
        <v>3088</v>
      </c>
      <c r="AC230" s="55"/>
      <c r="AD230" s="55" t="s">
        <v>3089</v>
      </c>
      <c r="AE230" s="55" t="s">
        <v>3090</v>
      </c>
    </row>
    <row r="231">
      <c r="A231" s="103">
        <v>230.0</v>
      </c>
      <c r="B231" s="85" t="s">
        <v>322</v>
      </c>
      <c r="C231" s="83" t="s">
        <v>3091</v>
      </c>
      <c r="D231" s="86" t="s">
        <v>3092</v>
      </c>
      <c r="E231" s="37" t="str">
        <f t="shared" si="3"/>
        <v>ส.ท. เสริมพล พุทธหะ</v>
      </c>
      <c r="F231" s="82" t="s">
        <v>603</v>
      </c>
      <c r="G231" s="83" t="s">
        <v>3093</v>
      </c>
      <c r="H231" s="86" t="s">
        <v>3094</v>
      </c>
      <c r="I231" s="20">
        <v>1.604001547E9</v>
      </c>
      <c r="J231" s="20">
        <v>1.679900276291E12</v>
      </c>
      <c r="K231" s="152" t="s">
        <v>2851</v>
      </c>
      <c r="L231" s="86" t="s">
        <v>3095</v>
      </c>
      <c r="M231" s="41" t="s">
        <v>2991</v>
      </c>
      <c r="N231" s="18" t="s">
        <v>72</v>
      </c>
      <c r="O231" s="144" t="s">
        <v>666</v>
      </c>
      <c r="P231" s="42">
        <v>8.26655733E8</v>
      </c>
      <c r="Q231" s="43"/>
      <c r="R231" s="45" t="s">
        <v>58</v>
      </c>
      <c r="S231" s="46"/>
      <c r="T231" s="66" t="s">
        <v>3096</v>
      </c>
      <c r="U231" s="53">
        <v>34092.0</v>
      </c>
      <c r="V231" s="31" t="s">
        <v>77</v>
      </c>
      <c r="W231" s="55">
        <f t="shared" si="2"/>
        <v>33</v>
      </c>
      <c r="X231" s="55" t="s">
        <v>98</v>
      </c>
      <c r="Y231" s="55" t="s">
        <v>428</v>
      </c>
      <c r="Z231" s="55" t="s">
        <v>3097</v>
      </c>
      <c r="AA231" s="114" t="s">
        <v>3098</v>
      </c>
      <c r="AB231" s="58" t="s">
        <v>3099</v>
      </c>
      <c r="AC231" s="55"/>
      <c r="AD231" s="55" t="s">
        <v>3100</v>
      </c>
      <c r="AE231" s="55" t="s">
        <v>3101</v>
      </c>
    </row>
    <row r="232">
      <c r="A232" s="103">
        <v>231.0</v>
      </c>
      <c r="B232" s="146" t="s">
        <v>135</v>
      </c>
      <c r="C232" s="148" t="s">
        <v>683</v>
      </c>
      <c r="D232" s="142" t="s">
        <v>684</v>
      </c>
      <c r="E232" s="37" t="str">
        <f t="shared" si="3"/>
        <v>ร.ท. เกริกพงษ์ พิทักษ์สกุลหงส์</v>
      </c>
      <c r="F232" s="139" t="s">
        <v>80</v>
      </c>
      <c r="G232" s="148" t="s">
        <v>685</v>
      </c>
      <c r="H232" s="142" t="s">
        <v>686</v>
      </c>
      <c r="I232" s="150">
        <v>1.570600611E9</v>
      </c>
      <c r="J232" s="150">
        <v>1.209700676885E12</v>
      </c>
      <c r="K232" s="152" t="s">
        <v>392</v>
      </c>
      <c r="L232" s="154" t="s">
        <v>694</v>
      </c>
      <c r="M232" s="41" t="s">
        <v>3102</v>
      </c>
      <c r="N232" s="155" t="s">
        <v>72</v>
      </c>
      <c r="O232" s="144" t="s">
        <v>666</v>
      </c>
      <c r="P232" s="42" t="s">
        <v>703</v>
      </c>
      <c r="Q232" s="43"/>
      <c r="R232" s="45" t="s">
        <v>60</v>
      </c>
      <c r="S232" s="46"/>
      <c r="T232" s="66" t="s">
        <v>3103</v>
      </c>
      <c r="U232" s="53">
        <v>35214.0</v>
      </c>
      <c r="V232" s="31" t="s">
        <v>77</v>
      </c>
      <c r="W232" s="55">
        <f t="shared" si="2"/>
        <v>30</v>
      </c>
      <c r="X232" s="55" t="s">
        <v>98</v>
      </c>
      <c r="Y232" s="55" t="s">
        <v>99</v>
      </c>
      <c r="Z232" s="55" t="s">
        <v>811</v>
      </c>
      <c r="AA232" s="58" t="s">
        <v>3104</v>
      </c>
      <c r="AB232" s="58" t="s">
        <v>3105</v>
      </c>
      <c r="AC232" s="55"/>
      <c r="AD232" s="55" t="s">
        <v>3106</v>
      </c>
      <c r="AE232" s="55" t="s">
        <v>3107</v>
      </c>
    </row>
    <row r="233">
      <c r="A233" s="103">
        <v>232.0</v>
      </c>
      <c r="B233" s="146" t="s">
        <v>106</v>
      </c>
      <c r="C233" s="148" t="s">
        <v>3108</v>
      </c>
      <c r="D233" s="142" t="s">
        <v>3109</v>
      </c>
      <c r="E233" s="37" t="str">
        <f t="shared" si="3"/>
        <v>จ.ส.อ. ทนงศักดิ์ ธนชัยสวัสดิ์</v>
      </c>
      <c r="F233" s="82" t="s">
        <v>111</v>
      </c>
      <c r="G233" s="148" t="s">
        <v>3110</v>
      </c>
      <c r="H233" s="142" t="s">
        <v>3111</v>
      </c>
      <c r="I233" s="150">
        <v>1.485400107E9</v>
      </c>
      <c r="J233" s="150">
        <v>1.330400071431E12</v>
      </c>
      <c r="K233" s="152" t="s">
        <v>542</v>
      </c>
      <c r="L233" s="142" t="s">
        <v>3112</v>
      </c>
      <c r="M233" s="41" t="s">
        <v>3113</v>
      </c>
      <c r="N233" s="150" t="s">
        <v>72</v>
      </c>
      <c r="O233" s="144" t="s">
        <v>666</v>
      </c>
      <c r="P233" s="42">
        <v>9.55569571E8</v>
      </c>
      <c r="Q233" s="43"/>
      <c r="R233" s="45" t="s">
        <v>60</v>
      </c>
      <c r="S233" s="46"/>
      <c r="T233" s="66" t="s">
        <v>3114</v>
      </c>
      <c r="U233" s="53">
        <v>31297.0</v>
      </c>
      <c r="V233" s="31" t="s">
        <v>77</v>
      </c>
      <c r="W233" s="55">
        <f t="shared" si="2"/>
        <v>41</v>
      </c>
      <c r="X233" s="55" t="s">
        <v>98</v>
      </c>
      <c r="Y233" s="55" t="s">
        <v>428</v>
      </c>
      <c r="Z233" s="55" t="s">
        <v>3115</v>
      </c>
      <c r="AA233" s="58" t="s">
        <v>3116</v>
      </c>
      <c r="AB233" s="58" t="s">
        <v>3117</v>
      </c>
      <c r="AC233" s="55"/>
      <c r="AD233" s="55" t="s">
        <v>3118</v>
      </c>
      <c r="AE233" s="55" t="s">
        <v>3119</v>
      </c>
    </row>
    <row r="234">
      <c r="A234" s="103">
        <v>233.0</v>
      </c>
      <c r="B234" s="146" t="s">
        <v>106</v>
      </c>
      <c r="C234" s="148" t="s">
        <v>3120</v>
      </c>
      <c r="D234" s="142" t="s">
        <v>3121</v>
      </c>
      <c r="E234" s="37" t="str">
        <f t="shared" si="3"/>
        <v>จ.ส.อ. วีรชน วงษ์มะเซาะ</v>
      </c>
      <c r="F234" s="82" t="s">
        <v>111</v>
      </c>
      <c r="G234" s="148" t="s">
        <v>3122</v>
      </c>
      <c r="H234" s="142" t="s">
        <v>3123</v>
      </c>
      <c r="I234" s="150">
        <v>1.513302649E9</v>
      </c>
      <c r="J234" s="150">
        <v>1.100200219135E12</v>
      </c>
      <c r="K234" s="152" t="s">
        <v>2084</v>
      </c>
      <c r="L234" s="154" t="s">
        <v>3124</v>
      </c>
      <c r="M234" s="41" t="s">
        <v>1171</v>
      </c>
      <c r="N234" s="150" t="s">
        <v>85</v>
      </c>
      <c r="O234" s="144" t="s">
        <v>666</v>
      </c>
      <c r="P234" s="42">
        <v>8.05159153E8</v>
      </c>
      <c r="Q234" s="43"/>
      <c r="R234" s="45" t="s">
        <v>60</v>
      </c>
      <c r="S234" s="46"/>
      <c r="T234" s="66" t="s">
        <v>3125</v>
      </c>
      <c r="U234" s="53">
        <v>31433.0</v>
      </c>
      <c r="V234" s="157" t="s">
        <v>203</v>
      </c>
      <c r="W234" s="55">
        <f t="shared" si="2"/>
        <v>40</v>
      </c>
      <c r="X234" s="55" t="s">
        <v>98</v>
      </c>
      <c r="Y234" s="55" t="s">
        <v>428</v>
      </c>
      <c r="Z234" s="55" t="s">
        <v>3126</v>
      </c>
      <c r="AA234" s="114" t="s">
        <v>3127</v>
      </c>
      <c r="AB234" s="58" t="s">
        <v>3128</v>
      </c>
      <c r="AC234" s="55"/>
      <c r="AD234" s="55" t="s">
        <v>3129</v>
      </c>
      <c r="AE234" s="55" t="s">
        <v>3130</v>
      </c>
    </row>
    <row r="235">
      <c r="A235" s="103">
        <v>234.0</v>
      </c>
      <c r="B235" s="201" t="s">
        <v>646</v>
      </c>
      <c r="C235" s="148" t="s">
        <v>3131</v>
      </c>
      <c r="D235" s="142" t="s">
        <v>3132</v>
      </c>
      <c r="E235" s="37" t="str">
        <f t="shared" si="3"/>
        <v>จ.ส.ต. ภูมิรภีร์ ญะเมืองมอญ</v>
      </c>
      <c r="F235" s="218" t="s">
        <v>659</v>
      </c>
      <c r="G235" s="148" t="s">
        <v>3133</v>
      </c>
      <c r="H235" s="142" t="s">
        <v>3134</v>
      </c>
      <c r="I235" s="150">
        <v>1.59520034E9</v>
      </c>
      <c r="J235" s="150">
        <v>1.51010024553E12</v>
      </c>
      <c r="K235" s="152" t="s">
        <v>2805</v>
      </c>
      <c r="L235" s="142" t="s">
        <v>3135</v>
      </c>
      <c r="M235" s="41" t="s">
        <v>2731</v>
      </c>
      <c r="N235" s="150" t="s">
        <v>85</v>
      </c>
      <c r="O235" s="144" t="s">
        <v>666</v>
      </c>
      <c r="P235" s="42">
        <v>6.26182891E8</v>
      </c>
      <c r="Q235" s="43"/>
      <c r="R235" s="45" t="s">
        <v>60</v>
      </c>
      <c r="S235" s="46"/>
      <c r="T235" s="66" t="s">
        <v>3136</v>
      </c>
      <c r="U235" s="53">
        <v>34634.0</v>
      </c>
      <c r="V235" s="31" t="s">
        <v>77</v>
      </c>
      <c r="W235" s="55">
        <f t="shared" si="2"/>
        <v>31</v>
      </c>
      <c r="X235" s="55" t="s">
        <v>98</v>
      </c>
      <c r="Y235" s="55" t="s">
        <v>428</v>
      </c>
      <c r="Z235" s="55" t="s">
        <v>2236</v>
      </c>
      <c r="AA235" s="114" t="s">
        <v>3137</v>
      </c>
      <c r="AB235" s="58" t="s">
        <v>3138</v>
      </c>
      <c r="AC235" s="55"/>
      <c r="AD235" s="55" t="s">
        <v>3139</v>
      </c>
      <c r="AE235" s="55" t="s">
        <v>3140</v>
      </c>
    </row>
    <row r="236">
      <c r="A236" s="103">
        <v>235.0</v>
      </c>
      <c r="B236" s="146" t="s">
        <v>106</v>
      </c>
      <c r="C236" s="148" t="s">
        <v>3141</v>
      </c>
      <c r="D236" s="142" t="s">
        <v>3142</v>
      </c>
      <c r="E236" s="37" t="str">
        <f t="shared" si="3"/>
        <v>จ.ส.อ. ณพัฒน์ ลิสวัสดิรัตนากุล</v>
      </c>
      <c r="F236" s="82" t="s">
        <v>111</v>
      </c>
      <c r="G236" s="148" t="s">
        <v>3143</v>
      </c>
      <c r="H236" s="142" t="s">
        <v>3144</v>
      </c>
      <c r="I236" s="150">
        <v>1.523303606E9</v>
      </c>
      <c r="J236" s="150">
        <v>1.100700924083E12</v>
      </c>
      <c r="K236" s="152" t="s">
        <v>899</v>
      </c>
      <c r="L236" s="142" t="s">
        <v>3145</v>
      </c>
      <c r="M236" s="41" t="s">
        <v>1720</v>
      </c>
      <c r="N236" s="150" t="s">
        <v>155</v>
      </c>
      <c r="O236" s="144" t="s">
        <v>666</v>
      </c>
      <c r="P236" s="42">
        <v>8.79812113E8</v>
      </c>
      <c r="Q236" s="43"/>
      <c r="R236" s="45" t="s">
        <v>60</v>
      </c>
      <c r="S236" s="46"/>
      <c r="T236" s="66" t="s">
        <v>3146</v>
      </c>
      <c r="U236" s="53">
        <v>32486.0</v>
      </c>
      <c r="V236" s="31" t="s">
        <v>77</v>
      </c>
      <c r="W236" s="55">
        <f t="shared" si="2"/>
        <v>37</v>
      </c>
      <c r="X236" s="55" t="s">
        <v>98</v>
      </c>
      <c r="Y236" s="55" t="s">
        <v>428</v>
      </c>
      <c r="Z236" s="55" t="s">
        <v>1329</v>
      </c>
      <c r="AA236" s="58" t="s">
        <v>3147</v>
      </c>
      <c r="AB236" s="58" t="s">
        <v>3148</v>
      </c>
      <c r="AC236" s="55"/>
      <c r="AD236" s="55" t="s">
        <v>3149</v>
      </c>
      <c r="AE236" s="55" t="s">
        <v>3150</v>
      </c>
    </row>
    <row r="237">
      <c r="A237" s="103">
        <v>236.0</v>
      </c>
      <c r="B237" s="146" t="s">
        <v>106</v>
      </c>
      <c r="C237" s="148" t="s">
        <v>2219</v>
      </c>
      <c r="D237" s="142" t="s">
        <v>3151</v>
      </c>
      <c r="E237" s="37" t="str">
        <f t="shared" si="3"/>
        <v>จ.ส.อ. อาทิตย์ แสงชูโต</v>
      </c>
      <c r="F237" s="82" t="s">
        <v>111</v>
      </c>
      <c r="G237" s="148" t="s">
        <v>2221</v>
      </c>
      <c r="H237" s="142" t="s">
        <v>3152</v>
      </c>
      <c r="I237" s="150">
        <v>1.565600171E9</v>
      </c>
      <c r="J237" s="150">
        <v>1.909900333152E12</v>
      </c>
      <c r="K237" s="152" t="s">
        <v>2840</v>
      </c>
      <c r="L237" s="142" t="s">
        <v>3153</v>
      </c>
      <c r="M237" s="41" t="s">
        <v>1878</v>
      </c>
      <c r="N237" s="150" t="s">
        <v>155</v>
      </c>
      <c r="O237" s="144" t="s">
        <v>666</v>
      </c>
      <c r="P237" s="42">
        <v>9.87083802E8</v>
      </c>
      <c r="Q237" s="43"/>
      <c r="R237" s="45" t="s">
        <v>60</v>
      </c>
      <c r="S237" s="46"/>
      <c r="T237" s="66" t="s">
        <v>3154</v>
      </c>
      <c r="U237" s="53">
        <v>33769.0</v>
      </c>
      <c r="V237" s="31" t="s">
        <v>77</v>
      </c>
      <c r="W237" s="55">
        <f t="shared" si="2"/>
        <v>34</v>
      </c>
      <c r="X237" s="55" t="s">
        <v>98</v>
      </c>
      <c r="Y237" s="55" t="s">
        <v>428</v>
      </c>
      <c r="Z237" s="55" t="s">
        <v>2236</v>
      </c>
      <c r="AA237" s="58" t="s">
        <v>3155</v>
      </c>
      <c r="AB237" s="58" t="s">
        <v>3156</v>
      </c>
      <c r="AC237" s="55"/>
      <c r="AD237" s="55" t="s">
        <v>3157</v>
      </c>
      <c r="AE237" s="55" t="s">
        <v>3158</v>
      </c>
    </row>
    <row r="238">
      <c r="A238" s="103">
        <v>237.0</v>
      </c>
      <c r="B238" s="146" t="s">
        <v>349</v>
      </c>
      <c r="C238" s="148" t="s">
        <v>3159</v>
      </c>
      <c r="D238" s="142" t="s">
        <v>3160</v>
      </c>
      <c r="E238" s="37" t="str">
        <f t="shared" si="3"/>
        <v>ส.อ. ณรงค์ศักดิ์ คำโส</v>
      </c>
      <c r="F238" s="82" t="s">
        <v>353</v>
      </c>
      <c r="G238" s="148" t="s">
        <v>3161</v>
      </c>
      <c r="H238" s="142" t="s">
        <v>3162</v>
      </c>
      <c r="I238" s="150">
        <v>1.600501927E9</v>
      </c>
      <c r="J238" s="150">
        <v>1.401400075526E12</v>
      </c>
      <c r="K238" s="152" t="s">
        <v>2840</v>
      </c>
      <c r="L238" s="142" t="s">
        <v>3163</v>
      </c>
      <c r="M238" s="41" t="s">
        <v>563</v>
      </c>
      <c r="N238" s="150" t="s">
        <v>85</v>
      </c>
      <c r="O238" s="144" t="s">
        <v>666</v>
      </c>
      <c r="P238" s="42">
        <v>9.88160893E8</v>
      </c>
      <c r="Q238" s="43"/>
      <c r="R238" s="45" t="s">
        <v>60</v>
      </c>
      <c r="S238" s="46"/>
      <c r="T238" s="66" t="s">
        <v>3164</v>
      </c>
      <c r="U238" s="53">
        <v>36250.0</v>
      </c>
      <c r="V238" s="31" t="s">
        <v>77</v>
      </c>
      <c r="W238" s="55">
        <f t="shared" si="2"/>
        <v>27</v>
      </c>
      <c r="X238" s="55" t="s">
        <v>98</v>
      </c>
      <c r="Y238" s="55" t="s">
        <v>428</v>
      </c>
      <c r="Z238" s="55" t="s">
        <v>1205</v>
      </c>
      <c r="AA238" s="114" t="s">
        <v>3165</v>
      </c>
      <c r="AB238" s="58" t="s">
        <v>3166</v>
      </c>
      <c r="AC238" s="55"/>
      <c r="AD238" s="55" t="s">
        <v>3167</v>
      </c>
      <c r="AE238" s="55" t="s">
        <v>3168</v>
      </c>
    </row>
    <row r="239">
      <c r="A239" s="103">
        <v>238.0</v>
      </c>
      <c r="B239" s="146" t="s">
        <v>349</v>
      </c>
      <c r="C239" s="148" t="s">
        <v>3169</v>
      </c>
      <c r="D239" s="142" t="s">
        <v>3170</v>
      </c>
      <c r="E239" s="37" t="str">
        <f t="shared" si="3"/>
        <v>ส.อ. ภูมินทร์ สมานเมือง</v>
      </c>
      <c r="F239" s="82" t="s">
        <v>353</v>
      </c>
      <c r="G239" s="148" t="s">
        <v>3171</v>
      </c>
      <c r="H239" s="142" t="s">
        <v>3172</v>
      </c>
      <c r="I239" s="150">
        <v>1.562800355E9</v>
      </c>
      <c r="J239" s="150">
        <v>1.31070020416E12</v>
      </c>
      <c r="K239" s="152" t="s">
        <v>2851</v>
      </c>
      <c r="L239" s="142" t="s">
        <v>3173</v>
      </c>
      <c r="M239" s="41" t="s">
        <v>658</v>
      </c>
      <c r="N239" s="150" t="s">
        <v>155</v>
      </c>
      <c r="O239" s="144" t="s">
        <v>666</v>
      </c>
      <c r="P239" s="42">
        <v>9.29956052E8</v>
      </c>
      <c r="Q239" s="43"/>
      <c r="R239" s="45" t="s">
        <v>60</v>
      </c>
      <c r="S239" s="46"/>
      <c r="T239" s="66" t="s">
        <v>3174</v>
      </c>
      <c r="U239" s="53">
        <v>33689.0</v>
      </c>
      <c r="V239" s="31" t="s">
        <v>77</v>
      </c>
      <c r="W239" s="55">
        <f t="shared" si="2"/>
        <v>34</v>
      </c>
      <c r="X239" s="55" t="s">
        <v>98</v>
      </c>
      <c r="Y239" s="55" t="s">
        <v>428</v>
      </c>
      <c r="Z239" s="55" t="s">
        <v>3175</v>
      </c>
      <c r="AA239" s="114" t="s">
        <v>3176</v>
      </c>
      <c r="AB239" s="58" t="s">
        <v>3177</v>
      </c>
      <c r="AC239" s="55"/>
      <c r="AD239" s="55" t="s">
        <v>3178</v>
      </c>
      <c r="AE239" s="55" t="s">
        <v>3179</v>
      </c>
    </row>
    <row r="240">
      <c r="A240" s="103">
        <v>239.0</v>
      </c>
      <c r="B240" s="146" t="s">
        <v>106</v>
      </c>
      <c r="C240" s="148" t="s">
        <v>3180</v>
      </c>
      <c r="D240" s="142" t="s">
        <v>3181</v>
      </c>
      <c r="E240" s="37" t="str">
        <f t="shared" si="3"/>
        <v>จ.ส.อ. เอกกวี พิณทอง</v>
      </c>
      <c r="F240" s="82" t="s">
        <v>111</v>
      </c>
      <c r="G240" s="148" t="s">
        <v>3182</v>
      </c>
      <c r="H240" s="142" t="s">
        <v>3183</v>
      </c>
      <c r="I240" s="150">
        <v>1.523600455E9</v>
      </c>
      <c r="J240" s="150">
        <v>1.500700074621E12</v>
      </c>
      <c r="K240" s="152" t="s">
        <v>2851</v>
      </c>
      <c r="L240" s="154" t="s">
        <v>3184</v>
      </c>
      <c r="M240" s="41" t="s">
        <v>3185</v>
      </c>
      <c r="N240" s="150" t="s">
        <v>72</v>
      </c>
      <c r="O240" s="144" t="s">
        <v>666</v>
      </c>
      <c r="P240" s="42">
        <v>9.07951516E8</v>
      </c>
      <c r="Q240" s="43"/>
      <c r="R240" s="45" t="s">
        <v>60</v>
      </c>
      <c r="S240" s="46"/>
      <c r="T240" s="66" t="s">
        <v>3186</v>
      </c>
      <c r="U240" s="53">
        <v>31589.0</v>
      </c>
      <c r="V240" s="31" t="s">
        <v>77</v>
      </c>
      <c r="W240" s="55">
        <f t="shared" si="2"/>
        <v>40</v>
      </c>
      <c r="X240" s="55" t="s">
        <v>98</v>
      </c>
      <c r="Y240" s="55" t="s">
        <v>428</v>
      </c>
      <c r="Z240" s="55" t="s">
        <v>3187</v>
      </c>
      <c r="AA240" s="58" t="s">
        <v>3188</v>
      </c>
      <c r="AB240" s="58" t="s">
        <v>3189</v>
      </c>
      <c r="AC240" s="55"/>
      <c r="AD240" s="55" t="s">
        <v>3190</v>
      </c>
      <c r="AE240" s="55" t="s">
        <v>3191</v>
      </c>
    </row>
    <row r="241">
      <c r="A241" s="103">
        <v>240.0</v>
      </c>
      <c r="B241" s="146" t="s">
        <v>349</v>
      </c>
      <c r="C241" s="148" t="s">
        <v>1332</v>
      </c>
      <c r="D241" s="142" t="s">
        <v>3192</v>
      </c>
      <c r="E241" s="37" t="str">
        <f t="shared" si="3"/>
        <v>ส.อ. โอภาส บุญผลึก</v>
      </c>
      <c r="F241" s="82" t="s">
        <v>353</v>
      </c>
      <c r="G241" s="148" t="s">
        <v>1334</v>
      </c>
      <c r="H241" s="142" t="s">
        <v>3193</v>
      </c>
      <c r="I241" s="150">
        <v>1.582202119E9</v>
      </c>
      <c r="J241" s="150">
        <v>1.809900596626E12</v>
      </c>
      <c r="K241" s="152" t="s">
        <v>2851</v>
      </c>
      <c r="L241" s="142" t="s">
        <v>3163</v>
      </c>
      <c r="M241" s="41" t="s">
        <v>1936</v>
      </c>
      <c r="N241" s="150" t="s">
        <v>85</v>
      </c>
      <c r="O241" s="144" t="s">
        <v>666</v>
      </c>
      <c r="P241" s="42">
        <v>9.36935859E8</v>
      </c>
      <c r="Q241" s="43"/>
      <c r="R241" s="45" t="s">
        <v>60</v>
      </c>
      <c r="S241" s="46"/>
      <c r="T241" s="66" t="s">
        <v>3194</v>
      </c>
      <c r="U241" s="53">
        <v>34672.0</v>
      </c>
      <c r="V241" s="157" t="s">
        <v>203</v>
      </c>
      <c r="W241" s="55">
        <f t="shared" si="2"/>
        <v>31</v>
      </c>
      <c r="X241" s="55" t="s">
        <v>98</v>
      </c>
      <c r="Y241" s="55" t="s">
        <v>428</v>
      </c>
      <c r="Z241" s="55" t="s">
        <v>2632</v>
      </c>
      <c r="AA241" s="114" t="s">
        <v>3195</v>
      </c>
      <c r="AB241" s="58" t="s">
        <v>3196</v>
      </c>
      <c r="AC241" s="55"/>
      <c r="AD241" s="55" t="s">
        <v>3197</v>
      </c>
      <c r="AE241" s="55" t="s">
        <v>3198</v>
      </c>
    </row>
    <row r="242">
      <c r="A242" s="103">
        <v>241.0</v>
      </c>
      <c r="B242" s="146" t="s">
        <v>106</v>
      </c>
      <c r="C242" s="148" t="s">
        <v>3199</v>
      </c>
      <c r="D242" s="142" t="s">
        <v>3200</v>
      </c>
      <c r="E242" s="37" t="str">
        <f t="shared" si="3"/>
        <v>จ.ส.อ. วินัย คำเงิน</v>
      </c>
      <c r="F242" s="82" t="s">
        <v>111</v>
      </c>
      <c r="G242" s="148" t="s">
        <v>3201</v>
      </c>
      <c r="H242" s="142" t="s">
        <v>3202</v>
      </c>
      <c r="I242" s="150">
        <v>1.551200198E9</v>
      </c>
      <c r="J242" s="150">
        <v>1.570900074781E12</v>
      </c>
      <c r="K242" s="152" t="s">
        <v>2851</v>
      </c>
      <c r="L242" s="142" t="s">
        <v>3203</v>
      </c>
      <c r="M242" s="41" t="s">
        <v>921</v>
      </c>
      <c r="N242" s="150" t="s">
        <v>155</v>
      </c>
      <c r="O242" s="144" t="s">
        <v>666</v>
      </c>
      <c r="P242" s="42">
        <v>6.57210071E8</v>
      </c>
      <c r="Q242" s="43"/>
      <c r="R242" s="45" t="s">
        <v>60</v>
      </c>
      <c r="S242" s="46"/>
      <c r="T242" s="66" t="s">
        <v>3204</v>
      </c>
      <c r="U242" s="53">
        <v>33238.0</v>
      </c>
      <c r="V242" s="31" t="s">
        <v>77</v>
      </c>
      <c r="W242" s="55">
        <f t="shared" si="2"/>
        <v>35</v>
      </c>
      <c r="X242" s="55" t="s">
        <v>98</v>
      </c>
      <c r="Y242" s="55" t="s">
        <v>428</v>
      </c>
      <c r="Z242" s="55" t="s">
        <v>2350</v>
      </c>
      <c r="AA242" s="58" t="s">
        <v>3205</v>
      </c>
      <c r="AB242" s="58" t="s">
        <v>3206</v>
      </c>
      <c r="AC242" s="55"/>
      <c r="AD242" s="55" t="s">
        <v>3207</v>
      </c>
      <c r="AE242" s="55" t="s">
        <v>3208</v>
      </c>
    </row>
    <row r="243">
      <c r="A243" s="103">
        <v>242.0</v>
      </c>
      <c r="B243" s="201" t="s">
        <v>646</v>
      </c>
      <c r="C243" s="148" t="s">
        <v>3209</v>
      </c>
      <c r="D243" s="142" t="s">
        <v>3210</v>
      </c>
      <c r="E243" s="37" t="str">
        <f t="shared" si="3"/>
        <v>จ.ส.ต. ปริเยศ วันชูเสริม</v>
      </c>
      <c r="F243" s="99" t="s">
        <v>659</v>
      </c>
      <c r="G243" s="148" t="s">
        <v>3211</v>
      </c>
      <c r="H243" s="142" t="s">
        <v>3212</v>
      </c>
      <c r="I243" s="150">
        <v>1.560300189E9</v>
      </c>
      <c r="J243" s="150">
        <v>1.460300152641E12</v>
      </c>
      <c r="K243" s="152" t="s">
        <v>2851</v>
      </c>
      <c r="L243" s="142" t="s">
        <v>3213</v>
      </c>
      <c r="M243" s="41" t="s">
        <v>1801</v>
      </c>
      <c r="N243" s="150" t="s">
        <v>155</v>
      </c>
      <c r="O243" s="144" t="s">
        <v>666</v>
      </c>
      <c r="P243" s="42">
        <v>9.33959529E8</v>
      </c>
      <c r="Q243" s="43"/>
      <c r="R243" s="45" t="s">
        <v>60</v>
      </c>
      <c r="S243" s="46"/>
      <c r="T243" s="66" t="s">
        <v>3214</v>
      </c>
      <c r="U243" s="53">
        <v>33632.0</v>
      </c>
      <c r="V243" s="31" t="s">
        <v>77</v>
      </c>
      <c r="W243" s="55">
        <f t="shared" si="2"/>
        <v>34</v>
      </c>
      <c r="X243" s="55" t="s">
        <v>98</v>
      </c>
      <c r="Y243" s="55" t="s">
        <v>428</v>
      </c>
      <c r="Z243" s="55" t="s">
        <v>3215</v>
      </c>
      <c r="AA243" s="58" t="s">
        <v>3216</v>
      </c>
      <c r="AB243" s="58" t="s">
        <v>3217</v>
      </c>
      <c r="AC243" s="55"/>
      <c r="AD243" s="55" t="s">
        <v>3218</v>
      </c>
      <c r="AE243" s="55" t="s">
        <v>3219</v>
      </c>
    </row>
    <row r="244">
      <c r="A244" s="103">
        <v>243.0</v>
      </c>
      <c r="B244" s="146" t="s">
        <v>349</v>
      </c>
      <c r="C244" s="148" t="s">
        <v>3220</v>
      </c>
      <c r="D244" s="142" t="s">
        <v>3221</v>
      </c>
      <c r="E244" s="37" t="str">
        <f t="shared" si="3"/>
        <v>ส.อ. กิตติศักดิ์ ปริวัฒนโกศล</v>
      </c>
      <c r="F244" s="82" t="s">
        <v>353</v>
      </c>
      <c r="G244" s="148" t="s">
        <v>3222</v>
      </c>
      <c r="H244" s="142" t="s">
        <v>3223</v>
      </c>
      <c r="I244" s="150">
        <v>1.581400114E9</v>
      </c>
      <c r="J244" s="150">
        <v>1.909800813896E12</v>
      </c>
      <c r="K244" s="152" t="s">
        <v>2851</v>
      </c>
      <c r="L244" s="142" t="s">
        <v>3224</v>
      </c>
      <c r="M244" s="41" t="s">
        <v>1569</v>
      </c>
      <c r="N244" s="150" t="s">
        <v>155</v>
      </c>
      <c r="O244" s="144" t="s">
        <v>666</v>
      </c>
      <c r="P244" s="42">
        <v>9.70209762E8</v>
      </c>
      <c r="Q244" s="43"/>
      <c r="R244" s="45" t="s">
        <v>60</v>
      </c>
      <c r="S244" s="46"/>
      <c r="T244" s="66" t="s">
        <v>3225</v>
      </c>
      <c r="U244" s="53">
        <v>34452.0</v>
      </c>
      <c r="V244" s="157" t="s">
        <v>203</v>
      </c>
      <c r="W244" s="55">
        <f t="shared" si="2"/>
        <v>32</v>
      </c>
      <c r="X244" s="55" t="s">
        <v>98</v>
      </c>
      <c r="Y244" s="55" t="s">
        <v>428</v>
      </c>
      <c r="Z244" s="55" t="s">
        <v>3226</v>
      </c>
      <c r="AA244" s="58" t="s">
        <v>3227</v>
      </c>
      <c r="AB244" s="58" t="s">
        <v>3228</v>
      </c>
      <c r="AC244" s="55"/>
      <c r="AD244" s="55" t="s">
        <v>3229</v>
      </c>
      <c r="AE244" s="55" t="s">
        <v>3230</v>
      </c>
    </row>
    <row r="245">
      <c r="A245" s="103">
        <v>244.0</v>
      </c>
      <c r="B245" s="85" t="s">
        <v>106</v>
      </c>
      <c r="C245" s="83" t="s">
        <v>3231</v>
      </c>
      <c r="D245" s="86" t="s">
        <v>3232</v>
      </c>
      <c r="E245" s="37" t="str">
        <f t="shared" si="3"/>
        <v>จ.ส.อ. เฉลิม เคลือบสูงเนิน</v>
      </c>
      <c r="F245" s="82" t="s">
        <v>111</v>
      </c>
      <c r="G245" s="83" t="s">
        <v>3233</v>
      </c>
      <c r="H245" s="86" t="s">
        <v>3234</v>
      </c>
      <c r="I245" s="20">
        <v>1.554000448E9</v>
      </c>
      <c r="J245" s="20">
        <v>1.670600145002E12</v>
      </c>
      <c r="K245" s="152" t="s">
        <v>899</v>
      </c>
      <c r="L245" s="86" t="s">
        <v>3235</v>
      </c>
      <c r="M245" s="41" t="s">
        <v>1814</v>
      </c>
      <c r="N245" s="20" t="s">
        <v>85</v>
      </c>
      <c r="O245" s="144" t="s">
        <v>666</v>
      </c>
      <c r="P245" s="42">
        <v>8.22363289E8</v>
      </c>
      <c r="Q245" s="43"/>
      <c r="R245" s="45" t="s">
        <v>60</v>
      </c>
      <c r="S245" s="46"/>
      <c r="T245" s="66" t="s">
        <v>3236</v>
      </c>
      <c r="U245" s="53">
        <v>33386.0</v>
      </c>
      <c r="V245" s="31" t="s">
        <v>77</v>
      </c>
      <c r="W245" s="55">
        <f t="shared" si="2"/>
        <v>35</v>
      </c>
      <c r="X245" s="55" t="s">
        <v>98</v>
      </c>
      <c r="Y245" s="55" t="s">
        <v>428</v>
      </c>
      <c r="Z245" s="55" t="s">
        <v>3237</v>
      </c>
      <c r="AA245" s="58" t="s">
        <v>3238</v>
      </c>
      <c r="AB245" s="58" t="s">
        <v>3239</v>
      </c>
      <c r="AC245" s="55"/>
      <c r="AD245" s="55" t="s">
        <v>3240</v>
      </c>
      <c r="AE245" s="55" t="s">
        <v>3241</v>
      </c>
    </row>
    <row r="246">
      <c r="A246" s="103">
        <v>245.0</v>
      </c>
      <c r="B246" s="85" t="s">
        <v>349</v>
      </c>
      <c r="C246" s="83" t="s">
        <v>3242</v>
      </c>
      <c r="D246" s="86" t="s">
        <v>3243</v>
      </c>
      <c r="E246" s="37" t="str">
        <f t="shared" si="3"/>
        <v>ส.อ. นรภัทร พูนแสง</v>
      </c>
      <c r="F246" s="82" t="s">
        <v>353</v>
      </c>
      <c r="G246" s="83" t="s">
        <v>3244</v>
      </c>
      <c r="H246" s="86" t="s">
        <v>3245</v>
      </c>
      <c r="I246" s="20">
        <v>1.572802208E9</v>
      </c>
      <c r="J246" s="20">
        <v>1.329900443433E12</v>
      </c>
      <c r="K246" s="152" t="s">
        <v>2928</v>
      </c>
      <c r="L246" s="86" t="s">
        <v>781</v>
      </c>
      <c r="M246" s="41" t="s">
        <v>3246</v>
      </c>
      <c r="N246" s="20" t="s">
        <v>85</v>
      </c>
      <c r="O246" s="144" t="s">
        <v>666</v>
      </c>
      <c r="P246" s="42">
        <v>6.29615955E8</v>
      </c>
      <c r="Q246" s="43"/>
      <c r="R246" s="45" t="s">
        <v>60</v>
      </c>
      <c r="S246" s="46"/>
      <c r="T246" s="66" t="s">
        <v>3247</v>
      </c>
      <c r="U246" s="53">
        <v>34149.0</v>
      </c>
      <c r="V246" s="31" t="s">
        <v>77</v>
      </c>
      <c r="W246" s="55">
        <f t="shared" si="2"/>
        <v>33</v>
      </c>
      <c r="X246" s="55" t="s">
        <v>98</v>
      </c>
      <c r="Y246" s="55" t="s">
        <v>428</v>
      </c>
      <c r="Z246" s="55" t="s">
        <v>3248</v>
      </c>
      <c r="AA246" s="58" t="s">
        <v>3249</v>
      </c>
      <c r="AB246" s="58" t="s">
        <v>3250</v>
      </c>
      <c r="AC246" s="55"/>
      <c r="AD246" s="55" t="s">
        <v>3251</v>
      </c>
      <c r="AE246" s="55" t="s">
        <v>3252</v>
      </c>
    </row>
    <row r="247">
      <c r="A247" s="103">
        <v>246.0</v>
      </c>
      <c r="B247" s="85" t="s">
        <v>349</v>
      </c>
      <c r="C247" s="83" t="s">
        <v>3253</v>
      </c>
      <c r="D247" s="86" t="s">
        <v>3254</v>
      </c>
      <c r="E247" s="37" t="str">
        <f t="shared" si="3"/>
        <v>ส.อ. อดิศักดิ์ พิมูลชาติ</v>
      </c>
      <c r="F247" s="82" t="s">
        <v>353</v>
      </c>
      <c r="G247" s="83" t="s">
        <v>3255</v>
      </c>
      <c r="H247" s="86" t="s">
        <v>3256</v>
      </c>
      <c r="I247" s="20">
        <v>1.605400373E9</v>
      </c>
      <c r="J247" s="20">
        <v>1.330800257834E12</v>
      </c>
      <c r="K247" s="152" t="s">
        <v>2939</v>
      </c>
      <c r="L247" s="86" t="s">
        <v>3257</v>
      </c>
      <c r="M247" s="41" t="s">
        <v>2762</v>
      </c>
      <c r="N247" s="20" t="s">
        <v>85</v>
      </c>
      <c r="O247" s="144" t="s">
        <v>666</v>
      </c>
      <c r="P247" s="42">
        <v>6.49847746E8</v>
      </c>
      <c r="Q247" s="43"/>
      <c r="R247" s="45" t="s">
        <v>60</v>
      </c>
      <c r="S247" s="46"/>
      <c r="T247" s="66" t="s">
        <v>3258</v>
      </c>
      <c r="U247" s="53">
        <v>35295.0</v>
      </c>
      <c r="V247" s="31" t="s">
        <v>77</v>
      </c>
      <c r="W247" s="55">
        <f t="shared" si="2"/>
        <v>30</v>
      </c>
      <c r="X247" s="55" t="s">
        <v>98</v>
      </c>
      <c r="Y247" s="55" t="s">
        <v>428</v>
      </c>
      <c r="Z247" s="55" t="s">
        <v>3259</v>
      </c>
      <c r="AA247" s="58" t="s">
        <v>3260</v>
      </c>
      <c r="AB247" s="58" t="s">
        <v>3261</v>
      </c>
      <c r="AC247" s="55"/>
      <c r="AD247" s="55" t="s">
        <v>3262</v>
      </c>
      <c r="AE247" s="55" t="s">
        <v>3263</v>
      </c>
    </row>
    <row r="248">
      <c r="A248" s="103">
        <v>247.0</v>
      </c>
      <c r="B248" s="85" t="s">
        <v>349</v>
      </c>
      <c r="C248" s="83" t="s">
        <v>3264</v>
      </c>
      <c r="D248" s="86" t="s">
        <v>3265</v>
      </c>
      <c r="E248" s="37" t="str">
        <f t="shared" si="3"/>
        <v>ส.อ. วิเชษฐ์ คำพุทธ</v>
      </c>
      <c r="F248" s="82" t="s">
        <v>353</v>
      </c>
      <c r="G248" s="83" t="s">
        <v>3266</v>
      </c>
      <c r="H248" s="86" t="s">
        <v>3267</v>
      </c>
      <c r="I248" s="20">
        <v>1.602200922E9</v>
      </c>
      <c r="J248" s="20">
        <v>1.809700261281E12</v>
      </c>
      <c r="K248" s="152" t="s">
        <v>2851</v>
      </c>
      <c r="L248" s="86" t="s">
        <v>781</v>
      </c>
      <c r="M248" s="41" t="s">
        <v>1276</v>
      </c>
      <c r="N248" s="20" t="s">
        <v>188</v>
      </c>
      <c r="O248" s="144" t="s">
        <v>666</v>
      </c>
      <c r="P248" s="42">
        <v>6.12486011E8</v>
      </c>
      <c r="Q248" s="43"/>
      <c r="R248" s="45" t="s">
        <v>60</v>
      </c>
      <c r="S248" s="46"/>
      <c r="T248" s="66" t="s">
        <v>3268</v>
      </c>
      <c r="U248" s="53">
        <v>35170.0</v>
      </c>
      <c r="V248" s="31" t="s">
        <v>77</v>
      </c>
      <c r="W248" s="55">
        <f t="shared" si="2"/>
        <v>30</v>
      </c>
      <c r="X248" s="55" t="s">
        <v>98</v>
      </c>
      <c r="Y248" s="55" t="s">
        <v>428</v>
      </c>
      <c r="Z248" s="55" t="s">
        <v>3269</v>
      </c>
      <c r="AA248" s="58" t="s">
        <v>3270</v>
      </c>
      <c r="AB248" s="58" t="s">
        <v>3271</v>
      </c>
      <c r="AC248" s="55"/>
      <c r="AD248" s="55" t="s">
        <v>3272</v>
      </c>
      <c r="AE248" s="55" t="s">
        <v>3273</v>
      </c>
    </row>
    <row r="249">
      <c r="A249" s="103">
        <v>248.0</v>
      </c>
      <c r="B249" s="85" t="s">
        <v>349</v>
      </c>
      <c r="C249" s="83" t="s">
        <v>3274</v>
      </c>
      <c r="D249" s="86" t="s">
        <v>3275</v>
      </c>
      <c r="E249" s="37" t="str">
        <f t="shared" si="3"/>
        <v>ส.อ. ธนกร เกื้อปัญญา</v>
      </c>
      <c r="F249" s="82" t="s">
        <v>353</v>
      </c>
      <c r="G249" s="83" t="s">
        <v>3276</v>
      </c>
      <c r="H249" s="86" t="s">
        <v>3277</v>
      </c>
      <c r="I249" s="20">
        <v>1.601101062E9</v>
      </c>
      <c r="J249" s="20">
        <v>1.869900353855E12</v>
      </c>
      <c r="K249" s="152" t="s">
        <v>2851</v>
      </c>
      <c r="L249" s="86" t="s">
        <v>781</v>
      </c>
      <c r="M249" s="41" t="s">
        <v>518</v>
      </c>
      <c r="N249" s="20" t="s">
        <v>72</v>
      </c>
      <c r="O249" s="144" t="s">
        <v>666</v>
      </c>
      <c r="P249" s="42">
        <v>9.61621545E8</v>
      </c>
      <c r="Q249" s="43"/>
      <c r="R249" s="45" t="s">
        <v>60</v>
      </c>
      <c r="S249" s="46"/>
      <c r="T249" s="66" t="s">
        <v>3278</v>
      </c>
      <c r="U249" s="53">
        <v>35940.0</v>
      </c>
      <c r="V249" s="31" t="s">
        <v>77</v>
      </c>
      <c r="W249" s="55">
        <f t="shared" si="2"/>
        <v>28</v>
      </c>
      <c r="X249" s="55" t="s">
        <v>98</v>
      </c>
      <c r="Y249" s="55" t="s">
        <v>428</v>
      </c>
      <c r="Z249" s="55" t="s">
        <v>3279</v>
      </c>
      <c r="AA249" s="58" t="s">
        <v>3280</v>
      </c>
      <c r="AB249" s="58" t="s">
        <v>3281</v>
      </c>
      <c r="AC249" s="55"/>
      <c r="AD249" s="55" t="s">
        <v>3282</v>
      </c>
      <c r="AE249" s="55" t="s">
        <v>3283</v>
      </c>
    </row>
    <row r="250">
      <c r="A250" s="103">
        <v>249.0</v>
      </c>
      <c r="B250" s="85" t="s">
        <v>322</v>
      </c>
      <c r="C250" s="83" t="s">
        <v>3284</v>
      </c>
      <c r="D250" s="86" t="s">
        <v>3285</v>
      </c>
      <c r="E250" s="37" t="str">
        <f t="shared" si="3"/>
        <v>ส.ท. สุวพจน์ กาทอง</v>
      </c>
      <c r="F250" s="82" t="s">
        <v>603</v>
      </c>
      <c r="G250" s="83" t="s">
        <v>3286</v>
      </c>
      <c r="H250" s="86" t="s">
        <v>3287</v>
      </c>
      <c r="I250" s="20">
        <v>1.627500068E9</v>
      </c>
      <c r="J250" s="20">
        <v>1.859900200366E12</v>
      </c>
      <c r="K250" s="152" t="s">
        <v>2851</v>
      </c>
      <c r="L250" s="86" t="s">
        <v>3288</v>
      </c>
      <c r="M250" s="41" t="s">
        <v>3023</v>
      </c>
      <c r="N250" s="20" t="s">
        <v>72</v>
      </c>
      <c r="O250" s="144" t="s">
        <v>666</v>
      </c>
      <c r="P250" s="42">
        <v>9.67735907E8</v>
      </c>
      <c r="Q250" s="43"/>
      <c r="R250" s="45" t="s">
        <v>60</v>
      </c>
      <c r="S250" s="46"/>
      <c r="T250" s="66" t="s">
        <v>3289</v>
      </c>
      <c r="U250" s="53">
        <v>35789.0</v>
      </c>
      <c r="V250" s="31" t="s">
        <v>77</v>
      </c>
      <c r="W250" s="55">
        <f t="shared" si="2"/>
        <v>28</v>
      </c>
      <c r="X250" s="55" t="s">
        <v>98</v>
      </c>
      <c r="Y250" s="55" t="s">
        <v>428</v>
      </c>
      <c r="Z250" s="55" t="s">
        <v>3290</v>
      </c>
      <c r="AA250" s="58" t="s">
        <v>3291</v>
      </c>
      <c r="AB250" s="58" t="s">
        <v>3292</v>
      </c>
      <c r="AC250" s="55"/>
      <c r="AD250" s="55" t="s">
        <v>3293</v>
      </c>
      <c r="AE250" s="55" t="s">
        <v>3294</v>
      </c>
    </row>
    <row r="251">
      <c r="A251" s="103">
        <v>250.0</v>
      </c>
      <c r="B251" s="85" t="s">
        <v>106</v>
      </c>
      <c r="C251" s="83" t="s">
        <v>3295</v>
      </c>
      <c r="D251" s="86" t="s">
        <v>3296</v>
      </c>
      <c r="E251" s="37" t="str">
        <f t="shared" si="3"/>
        <v>จ.ส.อ. ภานุพงศ์ คำพันธ์</v>
      </c>
      <c r="F251" s="82" t="s">
        <v>111</v>
      </c>
      <c r="G251" s="83" t="s">
        <v>1987</v>
      </c>
      <c r="H251" s="86" t="s">
        <v>3297</v>
      </c>
      <c r="I251" s="20">
        <v>1.553100616E9</v>
      </c>
      <c r="J251" s="20">
        <v>1.250200154911E12</v>
      </c>
      <c r="K251" s="152" t="s">
        <v>2851</v>
      </c>
      <c r="L251" s="120" t="s">
        <v>3298</v>
      </c>
      <c r="M251" s="41" t="s">
        <v>921</v>
      </c>
      <c r="N251" s="20" t="s">
        <v>72</v>
      </c>
      <c r="O251" s="144" t="s">
        <v>666</v>
      </c>
      <c r="P251" s="42">
        <v>8.30483258E8</v>
      </c>
      <c r="Q251" s="43"/>
      <c r="R251" s="45" t="s">
        <v>60</v>
      </c>
      <c r="S251" s="46"/>
      <c r="T251" s="66" t="s">
        <v>3299</v>
      </c>
      <c r="U251" s="53">
        <v>33347.0</v>
      </c>
      <c r="V251" s="31" t="s">
        <v>77</v>
      </c>
      <c r="W251" s="55">
        <f t="shared" si="2"/>
        <v>35</v>
      </c>
      <c r="X251" s="55" t="s">
        <v>98</v>
      </c>
      <c r="Y251" s="55" t="s">
        <v>428</v>
      </c>
      <c r="Z251" s="55" t="s">
        <v>1947</v>
      </c>
      <c r="AA251" s="58" t="s">
        <v>3300</v>
      </c>
      <c r="AB251" s="58" t="s">
        <v>3301</v>
      </c>
      <c r="AC251" s="55"/>
      <c r="AD251" s="55" t="s">
        <v>3302</v>
      </c>
      <c r="AE251" s="55" t="s">
        <v>3303</v>
      </c>
    </row>
    <row r="252">
      <c r="A252" s="103">
        <v>251.0</v>
      </c>
      <c r="B252" s="85" t="s">
        <v>349</v>
      </c>
      <c r="C252" s="83" t="s">
        <v>3304</v>
      </c>
      <c r="D252" s="86" t="s">
        <v>3305</v>
      </c>
      <c r="E252" s="37" t="str">
        <f t="shared" si="3"/>
        <v>ส.อ. นพพร เนียมชมภู</v>
      </c>
      <c r="F252" s="82" t="s">
        <v>353</v>
      </c>
      <c r="G252" s="83" t="s">
        <v>3306</v>
      </c>
      <c r="H252" s="86" t="s">
        <v>3307</v>
      </c>
      <c r="I252" s="20">
        <v>1.593300672E9</v>
      </c>
      <c r="J252" s="20">
        <v>2.250100029781E12</v>
      </c>
      <c r="K252" s="152" t="s">
        <v>2851</v>
      </c>
      <c r="L252" s="86" t="s">
        <v>3224</v>
      </c>
      <c r="M252" s="41" t="s">
        <v>1234</v>
      </c>
      <c r="N252" s="20" t="s">
        <v>72</v>
      </c>
      <c r="O252" s="144" t="s">
        <v>666</v>
      </c>
      <c r="P252" s="42">
        <v>9.66468909E8</v>
      </c>
      <c r="Q252" s="43"/>
      <c r="R252" s="45" t="s">
        <v>60</v>
      </c>
      <c r="S252" s="46"/>
      <c r="T252" s="66" t="s">
        <v>3308</v>
      </c>
      <c r="U252" s="53">
        <v>34804.0</v>
      </c>
      <c r="V252" s="31" t="s">
        <v>77</v>
      </c>
      <c r="W252" s="55">
        <f t="shared" si="2"/>
        <v>31</v>
      </c>
      <c r="X252" s="55" t="s">
        <v>98</v>
      </c>
      <c r="Y252" s="55" t="s">
        <v>428</v>
      </c>
      <c r="Z252" s="55" t="s">
        <v>964</v>
      </c>
      <c r="AA252" s="58" t="s">
        <v>3309</v>
      </c>
      <c r="AB252" s="58" t="s">
        <v>3310</v>
      </c>
      <c r="AC252" s="55"/>
      <c r="AD252" s="55" t="s">
        <v>3311</v>
      </c>
      <c r="AE252" s="55" t="s">
        <v>3312</v>
      </c>
    </row>
    <row r="253">
      <c r="A253" s="103">
        <v>252.0</v>
      </c>
      <c r="B253" s="204" t="s">
        <v>349</v>
      </c>
      <c r="C253" s="83" t="s">
        <v>1401</v>
      </c>
      <c r="D253" s="86" t="s">
        <v>3313</v>
      </c>
      <c r="E253" s="37" t="str">
        <f t="shared" si="3"/>
        <v>ส.อ. ธนวัฒน์ มณีโชติ</v>
      </c>
      <c r="F253" s="99" t="s">
        <v>353</v>
      </c>
      <c r="G253" s="83" t="s">
        <v>2118</v>
      </c>
      <c r="H253" s="86" t="s">
        <v>3314</v>
      </c>
      <c r="I253" s="20">
        <v>1.623700401E9</v>
      </c>
      <c r="J253" s="20">
        <v>1.660300068151E12</v>
      </c>
      <c r="K253" s="152" t="s">
        <v>2851</v>
      </c>
      <c r="L253" s="86" t="s">
        <v>3224</v>
      </c>
      <c r="M253" s="41" t="s">
        <v>1790</v>
      </c>
      <c r="N253" s="20" t="s">
        <v>85</v>
      </c>
      <c r="O253" s="144" t="s">
        <v>666</v>
      </c>
      <c r="P253" s="42">
        <v>9.49191398E8</v>
      </c>
      <c r="Q253" s="43"/>
      <c r="R253" s="45" t="s">
        <v>60</v>
      </c>
      <c r="S253" s="46"/>
      <c r="T253" s="66" t="s">
        <v>3315</v>
      </c>
      <c r="U253" s="53">
        <v>35821.0</v>
      </c>
      <c r="V253" s="31" t="s">
        <v>77</v>
      </c>
      <c r="W253" s="55">
        <f t="shared" si="2"/>
        <v>28</v>
      </c>
      <c r="X253" s="55" t="s">
        <v>98</v>
      </c>
      <c r="Y253" s="55" t="s">
        <v>428</v>
      </c>
      <c r="Z253" s="55" t="s">
        <v>2236</v>
      </c>
      <c r="AA253" s="58" t="s">
        <v>3316</v>
      </c>
      <c r="AB253" s="58" t="s">
        <v>3317</v>
      </c>
      <c r="AC253" s="55"/>
      <c r="AD253" s="55" t="s">
        <v>3318</v>
      </c>
      <c r="AE253" s="55" t="s">
        <v>3319</v>
      </c>
    </row>
    <row r="254">
      <c r="A254" s="103">
        <v>253.0</v>
      </c>
      <c r="B254" s="85" t="s">
        <v>106</v>
      </c>
      <c r="C254" s="83" t="s">
        <v>964</v>
      </c>
      <c r="D254" s="86" t="s">
        <v>3320</v>
      </c>
      <c r="E254" s="37" t="str">
        <f t="shared" si="3"/>
        <v>จ.ส.อ. ตั้ม สะราคำ</v>
      </c>
      <c r="F254" s="82" t="s">
        <v>111</v>
      </c>
      <c r="G254" s="83" t="s">
        <v>3321</v>
      </c>
      <c r="H254" s="86" t="s">
        <v>3322</v>
      </c>
      <c r="I254" s="110">
        <v>1.514300502E9</v>
      </c>
      <c r="J254" s="111">
        <v>1.101401002461E12</v>
      </c>
      <c r="K254" s="152" t="s">
        <v>899</v>
      </c>
      <c r="L254" s="86" t="s">
        <v>3323</v>
      </c>
      <c r="M254" s="41" t="s">
        <v>1211</v>
      </c>
      <c r="N254" s="20" t="s">
        <v>85</v>
      </c>
      <c r="O254" s="144" t="s">
        <v>666</v>
      </c>
      <c r="P254" s="42">
        <v>8.56088926E8</v>
      </c>
      <c r="Q254" s="43"/>
      <c r="R254" s="45" t="s">
        <v>60</v>
      </c>
      <c r="S254" s="46"/>
      <c r="T254" s="66" t="s">
        <v>3324</v>
      </c>
      <c r="U254" s="57">
        <v>31926.0</v>
      </c>
      <c r="V254" s="31" t="s">
        <v>77</v>
      </c>
      <c r="W254" s="55">
        <f t="shared" si="2"/>
        <v>39</v>
      </c>
      <c r="X254" s="55" t="s">
        <v>98</v>
      </c>
      <c r="Y254" s="55" t="s">
        <v>428</v>
      </c>
      <c r="Z254" s="55" t="s">
        <v>964</v>
      </c>
      <c r="AA254" s="58" t="s">
        <v>3325</v>
      </c>
      <c r="AB254" s="58" t="s">
        <v>3326</v>
      </c>
      <c r="AC254" s="55"/>
      <c r="AD254" s="55" t="s">
        <v>3327</v>
      </c>
      <c r="AE254" s="55" t="s">
        <v>3328</v>
      </c>
    </row>
    <row r="255">
      <c r="A255" s="103">
        <v>254.0</v>
      </c>
      <c r="B255" s="85" t="s">
        <v>106</v>
      </c>
      <c r="C255" s="83" t="s">
        <v>3329</v>
      </c>
      <c r="D255" s="86" t="s">
        <v>3330</v>
      </c>
      <c r="E255" s="37" t="str">
        <f t="shared" si="3"/>
        <v>จ.ส.อ. ฐิติวัฒน์ วรรณสอน</v>
      </c>
      <c r="F255" s="149" t="s">
        <v>111</v>
      </c>
      <c r="G255" s="83" t="s">
        <v>3331</v>
      </c>
      <c r="H255" s="86" t="s">
        <v>3332</v>
      </c>
      <c r="I255" s="20">
        <v>1.563300532E9</v>
      </c>
      <c r="J255" s="20">
        <v>1.102001427431E12</v>
      </c>
      <c r="K255" s="152" t="s">
        <v>2928</v>
      </c>
      <c r="L255" s="86" t="s">
        <v>3333</v>
      </c>
      <c r="M255" s="41" t="s">
        <v>2001</v>
      </c>
      <c r="N255" s="20" t="s">
        <v>85</v>
      </c>
      <c r="O255" s="144" t="s">
        <v>666</v>
      </c>
      <c r="P255" s="42">
        <v>6.24638419E8</v>
      </c>
      <c r="Q255" s="43"/>
      <c r="R255" s="45" t="s">
        <v>60</v>
      </c>
      <c r="S255" s="46"/>
      <c r="T255" s="66" t="s">
        <v>3334</v>
      </c>
      <c r="U255" s="53">
        <v>33167.0</v>
      </c>
      <c r="V255" s="31" t="s">
        <v>77</v>
      </c>
      <c r="W255" s="55">
        <f t="shared" si="2"/>
        <v>35</v>
      </c>
      <c r="X255" s="55" t="s">
        <v>98</v>
      </c>
      <c r="Y255" s="55" t="s">
        <v>428</v>
      </c>
      <c r="Z255" s="55" t="s">
        <v>2854</v>
      </c>
      <c r="AA255" s="58" t="s">
        <v>3335</v>
      </c>
      <c r="AB255" s="58" t="s">
        <v>3336</v>
      </c>
      <c r="AC255" s="55"/>
      <c r="AD255" s="55" t="s">
        <v>3337</v>
      </c>
      <c r="AE255" s="55" t="s">
        <v>3338</v>
      </c>
    </row>
    <row r="256">
      <c r="A256" s="103">
        <v>255.0</v>
      </c>
      <c r="B256" s="85" t="s">
        <v>106</v>
      </c>
      <c r="C256" s="83" t="s">
        <v>3339</v>
      </c>
      <c r="D256" s="86" t="s">
        <v>3340</v>
      </c>
      <c r="E256" s="37" t="str">
        <f t="shared" si="3"/>
        <v>จ.ส.อ. รัฐภูมิ ทองแผ่น</v>
      </c>
      <c r="F256" s="82" t="s">
        <v>111</v>
      </c>
      <c r="G256" s="83" t="s">
        <v>3341</v>
      </c>
      <c r="H256" s="86" t="s">
        <v>3342</v>
      </c>
      <c r="I256" s="20">
        <v>1.553000345E9</v>
      </c>
      <c r="J256" s="20">
        <v>1.101500420279E12</v>
      </c>
      <c r="K256" s="152" t="s">
        <v>2939</v>
      </c>
      <c r="L256" s="86" t="s">
        <v>3343</v>
      </c>
      <c r="M256" s="41" t="s">
        <v>1183</v>
      </c>
      <c r="N256" s="18" t="s">
        <v>85</v>
      </c>
      <c r="O256" s="144" t="s">
        <v>666</v>
      </c>
      <c r="P256" s="42">
        <v>8.30308883E8</v>
      </c>
      <c r="Q256" s="43"/>
      <c r="R256" s="45" t="s">
        <v>60</v>
      </c>
      <c r="S256" s="46"/>
      <c r="T256" s="66" t="s">
        <v>3344</v>
      </c>
      <c r="U256" s="53">
        <v>32997.0</v>
      </c>
      <c r="V256" s="31" t="s">
        <v>77</v>
      </c>
      <c r="W256" s="55">
        <f t="shared" si="2"/>
        <v>36</v>
      </c>
      <c r="X256" s="55" t="s">
        <v>98</v>
      </c>
      <c r="Y256" s="55" t="s">
        <v>428</v>
      </c>
      <c r="Z256" s="55" t="s">
        <v>256</v>
      </c>
      <c r="AA256" s="58" t="s">
        <v>3345</v>
      </c>
      <c r="AB256" s="58" t="s">
        <v>3346</v>
      </c>
      <c r="AC256" s="55"/>
      <c r="AD256" s="55" t="s">
        <v>3347</v>
      </c>
      <c r="AE256" s="55" t="s">
        <v>3348</v>
      </c>
    </row>
    <row r="257">
      <c r="A257" s="103">
        <v>256.0</v>
      </c>
      <c r="B257" s="85" t="s">
        <v>106</v>
      </c>
      <c r="C257" s="219" t="s">
        <v>3349</v>
      </c>
      <c r="D257" s="86" t="s">
        <v>3350</v>
      </c>
      <c r="E257" s="37" t="str">
        <f t="shared" si="3"/>
        <v>จ.ส.อ. ปฏิพัทธ์ จำปา</v>
      </c>
      <c r="F257" s="82" t="s">
        <v>111</v>
      </c>
      <c r="G257" s="83" t="s">
        <v>3351</v>
      </c>
      <c r="H257" s="86" t="s">
        <v>3352</v>
      </c>
      <c r="I257" s="20">
        <v>1.540700312E9</v>
      </c>
      <c r="J257" s="20">
        <v>1.550500086838E12</v>
      </c>
      <c r="K257" s="152" t="s">
        <v>2851</v>
      </c>
      <c r="L257" s="86" t="s">
        <v>3353</v>
      </c>
      <c r="M257" s="41" t="s">
        <v>975</v>
      </c>
      <c r="N257" s="20" t="s">
        <v>155</v>
      </c>
      <c r="O257" s="144" t="s">
        <v>666</v>
      </c>
      <c r="P257" s="42">
        <v>8.84993464E8</v>
      </c>
      <c r="Q257" s="43"/>
      <c r="R257" s="45" t="s">
        <v>60</v>
      </c>
      <c r="S257" s="46"/>
      <c r="T257" s="66" t="s">
        <v>3354</v>
      </c>
      <c r="U257" s="53">
        <v>32990.0</v>
      </c>
      <c r="V257" s="31" t="s">
        <v>77</v>
      </c>
      <c r="W257" s="55">
        <f t="shared" si="2"/>
        <v>36</v>
      </c>
      <c r="X257" s="55" t="s">
        <v>98</v>
      </c>
      <c r="Y257" s="55" t="s">
        <v>428</v>
      </c>
      <c r="Z257" s="55" t="s">
        <v>3355</v>
      </c>
      <c r="AA257" s="58" t="s">
        <v>3356</v>
      </c>
      <c r="AB257" s="58" t="s">
        <v>3357</v>
      </c>
      <c r="AC257" s="55"/>
      <c r="AD257" s="55" t="s">
        <v>3358</v>
      </c>
      <c r="AE257" s="55" t="s">
        <v>3359</v>
      </c>
    </row>
    <row r="258">
      <c r="A258" s="103">
        <v>257.0</v>
      </c>
      <c r="B258" s="204" t="s">
        <v>106</v>
      </c>
      <c r="C258" s="83" t="s">
        <v>3360</v>
      </c>
      <c r="D258" s="86" t="s">
        <v>3361</v>
      </c>
      <c r="E258" s="37" t="str">
        <f t="shared" si="3"/>
        <v>จ.ส.อ. ปฏิพัทธิ์ เจริญวัย</v>
      </c>
      <c r="F258" s="159" t="s">
        <v>111</v>
      </c>
      <c r="G258" s="83" t="s">
        <v>3362</v>
      </c>
      <c r="H258" s="86" t="s">
        <v>3363</v>
      </c>
      <c r="I258" s="20">
        <v>1.530702124E9</v>
      </c>
      <c r="J258" s="20">
        <v>1.249900244741E12</v>
      </c>
      <c r="K258" s="152" t="s">
        <v>2851</v>
      </c>
      <c r="L258" s="86" t="s">
        <v>3364</v>
      </c>
      <c r="M258" s="41" t="s">
        <v>3365</v>
      </c>
      <c r="N258" s="20" t="s">
        <v>72</v>
      </c>
      <c r="O258" s="144" t="s">
        <v>666</v>
      </c>
      <c r="P258" s="42">
        <v>9.8271598E8</v>
      </c>
      <c r="Q258" s="43"/>
      <c r="R258" s="45" t="s">
        <v>60</v>
      </c>
      <c r="S258" s="46"/>
      <c r="T258" s="66" t="s">
        <v>3366</v>
      </c>
      <c r="U258" s="53">
        <v>33528.0</v>
      </c>
      <c r="V258" s="31" t="s">
        <v>77</v>
      </c>
      <c r="W258" s="55">
        <f t="shared" si="2"/>
        <v>34</v>
      </c>
      <c r="X258" s="55" t="s">
        <v>98</v>
      </c>
      <c r="Y258" s="55" t="s">
        <v>428</v>
      </c>
      <c r="Z258" s="55" t="s">
        <v>3367</v>
      </c>
      <c r="AA258" s="58" t="s">
        <v>3368</v>
      </c>
      <c r="AB258" s="58" t="s">
        <v>3369</v>
      </c>
      <c r="AC258" s="55"/>
      <c r="AD258" s="55" t="s">
        <v>3370</v>
      </c>
      <c r="AE258" s="55" t="s">
        <v>3371</v>
      </c>
    </row>
    <row r="259">
      <c r="A259" s="103">
        <v>258.0</v>
      </c>
      <c r="B259" s="85" t="s">
        <v>349</v>
      </c>
      <c r="C259" s="83" t="s">
        <v>3372</v>
      </c>
      <c r="D259" s="86" t="s">
        <v>3373</v>
      </c>
      <c r="E259" s="37" t="str">
        <f t="shared" si="3"/>
        <v>ส.อ. วิชชา อรุณไพร</v>
      </c>
      <c r="F259" s="139" t="s">
        <v>353</v>
      </c>
      <c r="G259" s="148" t="s">
        <v>3374</v>
      </c>
      <c r="H259" s="148" t="s">
        <v>3375</v>
      </c>
      <c r="I259" s="220">
        <v>1.570800108E9</v>
      </c>
      <c r="J259" s="155">
        <v>1.209700494124E12</v>
      </c>
      <c r="K259" s="152" t="s">
        <v>2851</v>
      </c>
      <c r="L259" s="86" t="s">
        <v>3376</v>
      </c>
      <c r="M259" s="41" t="s">
        <v>1569</v>
      </c>
      <c r="N259" s="20" t="s">
        <v>155</v>
      </c>
      <c r="O259" s="144" t="s">
        <v>666</v>
      </c>
      <c r="P259" s="42">
        <v>9.62408205E8</v>
      </c>
      <c r="Q259" s="43"/>
      <c r="R259" s="45" t="s">
        <v>60</v>
      </c>
      <c r="S259" s="46"/>
      <c r="T259" s="66" t="s">
        <v>3377</v>
      </c>
      <c r="U259" s="53">
        <v>34212.0</v>
      </c>
      <c r="V259" s="31" t="s">
        <v>77</v>
      </c>
      <c r="W259" s="55">
        <f t="shared" si="2"/>
        <v>33</v>
      </c>
      <c r="X259" s="55" t="s">
        <v>98</v>
      </c>
      <c r="Y259" s="55" t="s">
        <v>428</v>
      </c>
      <c r="Z259" s="55" t="s">
        <v>3378</v>
      </c>
      <c r="AA259" s="58" t="s">
        <v>3379</v>
      </c>
      <c r="AB259" s="58" t="s">
        <v>3380</v>
      </c>
      <c r="AC259" s="55"/>
      <c r="AD259" s="55" t="s">
        <v>3381</v>
      </c>
      <c r="AE259" s="55" t="s">
        <v>3382</v>
      </c>
    </row>
    <row r="260">
      <c r="A260" s="103">
        <v>259.0</v>
      </c>
      <c r="B260" s="85" t="s">
        <v>349</v>
      </c>
      <c r="C260" s="83" t="s">
        <v>3383</v>
      </c>
      <c r="D260" s="86" t="s">
        <v>3384</v>
      </c>
      <c r="E260" s="37" t="str">
        <f t="shared" si="3"/>
        <v>ส.อ. ทศพร เหนียนเฉลย</v>
      </c>
      <c r="F260" s="139" t="s">
        <v>353</v>
      </c>
      <c r="G260" s="148" t="s">
        <v>3385</v>
      </c>
      <c r="H260" s="148" t="s">
        <v>3386</v>
      </c>
      <c r="I260" s="220">
        <v>1.57330103E9</v>
      </c>
      <c r="J260" s="155">
        <v>1.10180057204E12</v>
      </c>
      <c r="K260" s="152" t="s">
        <v>2851</v>
      </c>
      <c r="L260" s="86" t="s">
        <v>3387</v>
      </c>
      <c r="M260" s="41" t="s">
        <v>563</v>
      </c>
      <c r="N260" s="20" t="s">
        <v>85</v>
      </c>
      <c r="O260" s="144" t="s">
        <v>666</v>
      </c>
      <c r="P260" s="42">
        <v>9.72817283E8</v>
      </c>
      <c r="Q260" s="43"/>
      <c r="R260" s="45" t="s">
        <v>60</v>
      </c>
      <c r="S260" s="46"/>
      <c r="T260" s="66" t="s">
        <v>3388</v>
      </c>
      <c r="U260" s="53">
        <v>33946.0</v>
      </c>
      <c r="V260" s="31" t="s">
        <v>77</v>
      </c>
      <c r="W260" s="55">
        <f t="shared" si="2"/>
        <v>33</v>
      </c>
      <c r="X260" s="55" t="s">
        <v>98</v>
      </c>
      <c r="Y260" s="55" t="s">
        <v>428</v>
      </c>
      <c r="Z260" s="55" t="s">
        <v>3389</v>
      </c>
      <c r="AA260" s="58" t="s">
        <v>3390</v>
      </c>
      <c r="AB260" s="58" t="s">
        <v>3391</v>
      </c>
      <c r="AC260" s="55"/>
      <c r="AD260" s="55" t="s">
        <v>3392</v>
      </c>
      <c r="AE260" s="55" t="s">
        <v>3393</v>
      </c>
    </row>
    <row r="261">
      <c r="A261" s="103">
        <v>260.0</v>
      </c>
      <c r="B261" s="204" t="s">
        <v>349</v>
      </c>
      <c r="C261" s="83" t="s">
        <v>3394</v>
      </c>
      <c r="D261" s="86" t="s">
        <v>3395</v>
      </c>
      <c r="E261" s="37" t="str">
        <f t="shared" si="3"/>
        <v>ส.อ. วัชระเทพ โสวัณณ</v>
      </c>
      <c r="F261" s="82" t="s">
        <v>3396</v>
      </c>
      <c r="G261" s="83" t="s">
        <v>3397</v>
      </c>
      <c r="H261" s="86" t="s">
        <v>3398</v>
      </c>
      <c r="I261" s="221">
        <v>2.561500013E9</v>
      </c>
      <c r="J261" s="221">
        <v>1.239900157474E12</v>
      </c>
      <c r="K261" s="152" t="s">
        <v>2851</v>
      </c>
      <c r="L261" s="86" t="s">
        <v>3399</v>
      </c>
      <c r="M261" s="41" t="s">
        <v>1790</v>
      </c>
      <c r="N261" s="18" t="s">
        <v>155</v>
      </c>
      <c r="O261" s="144" t="s">
        <v>666</v>
      </c>
      <c r="P261" s="42">
        <v>6.40942489E8</v>
      </c>
      <c r="Q261" s="43"/>
      <c r="R261" s="45" t="s">
        <v>60</v>
      </c>
      <c r="S261" s="46"/>
      <c r="T261" s="66" t="s">
        <v>3400</v>
      </c>
      <c r="U261" s="53">
        <v>33335.0</v>
      </c>
      <c r="V261" s="31" t="s">
        <v>77</v>
      </c>
      <c r="W261" s="55">
        <f t="shared" si="2"/>
        <v>35</v>
      </c>
      <c r="X261" s="55" t="s">
        <v>98</v>
      </c>
      <c r="Y261" s="55" t="s">
        <v>428</v>
      </c>
      <c r="Z261" s="55" t="s">
        <v>3401</v>
      </c>
      <c r="AA261" s="114" t="s">
        <v>3402</v>
      </c>
      <c r="AB261" s="58" t="s">
        <v>3403</v>
      </c>
      <c r="AC261" s="55"/>
      <c r="AD261" s="55" t="s">
        <v>3404</v>
      </c>
      <c r="AE261" s="55" t="s">
        <v>3405</v>
      </c>
    </row>
    <row r="262">
      <c r="A262" s="103">
        <v>261.0</v>
      </c>
      <c r="B262" s="85" t="s">
        <v>322</v>
      </c>
      <c r="C262" s="83" t="s">
        <v>3406</v>
      </c>
      <c r="D262" s="86" t="s">
        <v>3407</v>
      </c>
      <c r="E262" s="37" t="str">
        <f t="shared" si="3"/>
        <v>ส.ท. อภิรักษ์ ชัยเพชร</v>
      </c>
      <c r="F262" s="82" t="s">
        <v>603</v>
      </c>
      <c r="G262" s="83" t="s">
        <v>3408</v>
      </c>
      <c r="H262" s="86" t="s">
        <v>3409</v>
      </c>
      <c r="I262" s="20">
        <v>1.612600741E9</v>
      </c>
      <c r="J262" s="20">
        <v>1.55990038429E12</v>
      </c>
      <c r="K262" s="152" t="s">
        <v>2851</v>
      </c>
      <c r="L262" s="86" t="s">
        <v>3410</v>
      </c>
      <c r="M262" s="41" t="s">
        <v>2991</v>
      </c>
      <c r="N262" s="18" t="s">
        <v>155</v>
      </c>
      <c r="O262" s="144" t="s">
        <v>666</v>
      </c>
      <c r="P262" s="42">
        <v>9.67289642E8</v>
      </c>
      <c r="Q262" s="43"/>
      <c r="R262" s="45" t="s">
        <v>60</v>
      </c>
      <c r="S262" s="46"/>
      <c r="T262" s="66" t="s">
        <v>3411</v>
      </c>
      <c r="U262" s="53">
        <v>36649.0</v>
      </c>
      <c r="V262" s="31" t="s">
        <v>77</v>
      </c>
      <c r="W262" s="55">
        <f t="shared" si="2"/>
        <v>26</v>
      </c>
      <c r="X262" s="55" t="s">
        <v>98</v>
      </c>
      <c r="Y262" s="55" t="s">
        <v>428</v>
      </c>
      <c r="Z262" s="55" t="s">
        <v>3412</v>
      </c>
      <c r="AA262" s="114" t="s">
        <v>3413</v>
      </c>
      <c r="AB262" s="58" t="s">
        <v>3414</v>
      </c>
      <c r="AC262" s="55"/>
      <c r="AD262" s="55" t="s">
        <v>3415</v>
      </c>
      <c r="AE262" s="55" t="s">
        <v>3416</v>
      </c>
    </row>
    <row r="263">
      <c r="A263" s="103">
        <v>262.0</v>
      </c>
      <c r="B263" s="85" t="s">
        <v>135</v>
      </c>
      <c r="C263" s="83" t="s">
        <v>714</v>
      </c>
      <c r="D263" s="86" t="s">
        <v>716</v>
      </c>
      <c r="E263" s="37" t="str">
        <f t="shared" si="3"/>
        <v>ร.ท. กฤตนันท์ จันทร์อยู่</v>
      </c>
      <c r="F263" s="139" t="s">
        <v>80</v>
      </c>
      <c r="G263" s="83" t="s">
        <v>721</v>
      </c>
      <c r="H263" s="86" t="s">
        <v>723</v>
      </c>
      <c r="I263" s="20">
        <v>1.653302809E9</v>
      </c>
      <c r="J263" s="20">
        <v>1.103702509566E12</v>
      </c>
      <c r="K263" s="152" t="s">
        <v>728</v>
      </c>
      <c r="L263" s="86" t="s">
        <v>730</v>
      </c>
      <c r="M263" s="41" t="s">
        <v>3102</v>
      </c>
      <c r="N263" s="20" t="s">
        <v>85</v>
      </c>
      <c r="O263" s="77" t="s">
        <v>734</v>
      </c>
      <c r="P263" s="42">
        <v>6.49519419E8</v>
      </c>
      <c r="Q263" s="43"/>
      <c r="R263" s="45" t="s">
        <v>61</v>
      </c>
      <c r="S263" s="46"/>
      <c r="T263" s="66" t="s">
        <v>3417</v>
      </c>
      <c r="U263" s="57">
        <v>35800.0</v>
      </c>
      <c r="V263" s="31" t="s">
        <v>77</v>
      </c>
      <c r="W263" s="55">
        <f t="shared" si="2"/>
        <v>28</v>
      </c>
      <c r="X263" s="55" t="s">
        <v>98</v>
      </c>
      <c r="Y263" s="55" t="s">
        <v>99</v>
      </c>
      <c r="Z263" s="55" t="s">
        <v>3418</v>
      </c>
      <c r="AA263" s="55"/>
      <c r="AB263" s="55"/>
      <c r="AC263" s="55"/>
      <c r="AD263" s="55" t="s">
        <v>3419</v>
      </c>
      <c r="AE263" s="55" t="s">
        <v>3420</v>
      </c>
    </row>
    <row r="264">
      <c r="A264" s="103">
        <v>263.0</v>
      </c>
      <c r="B264" s="85" t="s">
        <v>135</v>
      </c>
      <c r="C264" s="83" t="s">
        <v>752</v>
      </c>
      <c r="D264" s="86" t="s">
        <v>753</v>
      </c>
      <c r="E264" s="37" t="str">
        <f t="shared" si="3"/>
        <v>ร.ท. สถิรชนม์ รัตนโชคธรณี</v>
      </c>
      <c r="F264" s="139" t="s">
        <v>80</v>
      </c>
      <c r="G264" s="83" t="s">
        <v>755</v>
      </c>
      <c r="H264" s="86" t="s">
        <v>756</v>
      </c>
      <c r="I264" s="20">
        <v>1.590201769E9</v>
      </c>
      <c r="J264" s="20">
        <v>1.710500369111E12</v>
      </c>
      <c r="K264" s="152" t="s">
        <v>728</v>
      </c>
      <c r="L264" s="142" t="s">
        <v>758</v>
      </c>
      <c r="M264" s="41" t="s">
        <v>3421</v>
      </c>
      <c r="N264" s="77" t="s">
        <v>72</v>
      </c>
      <c r="O264" s="77" t="s">
        <v>734</v>
      </c>
      <c r="P264" s="42">
        <v>8.11975415E8</v>
      </c>
      <c r="Q264" s="43"/>
      <c r="R264" s="45" t="s">
        <v>61</v>
      </c>
      <c r="S264" s="46"/>
      <c r="T264" s="66" t="s">
        <v>3422</v>
      </c>
      <c r="U264" s="57">
        <v>35965.0</v>
      </c>
      <c r="V264" s="31" t="s">
        <v>77</v>
      </c>
      <c r="W264" s="55">
        <f t="shared" si="2"/>
        <v>28</v>
      </c>
      <c r="X264" s="55" t="s">
        <v>98</v>
      </c>
      <c r="Y264" s="55" t="s">
        <v>99</v>
      </c>
      <c r="Z264" s="55" t="s">
        <v>3423</v>
      </c>
      <c r="AA264" s="58" t="s">
        <v>3424</v>
      </c>
      <c r="AB264" s="58" t="s">
        <v>3425</v>
      </c>
      <c r="AC264" s="55"/>
      <c r="AD264" s="55" t="s">
        <v>3426</v>
      </c>
      <c r="AE264" s="55" t="s">
        <v>3427</v>
      </c>
    </row>
    <row r="265">
      <c r="A265" s="103">
        <v>264.0</v>
      </c>
      <c r="B265" s="85" t="s">
        <v>770</v>
      </c>
      <c r="C265" s="83" t="s">
        <v>771</v>
      </c>
      <c r="D265" s="86" t="s">
        <v>773</v>
      </c>
      <c r="E265" s="37" t="str">
        <f t="shared" si="3"/>
        <v>พ.ท.หญิง วารุณี โพธา</v>
      </c>
      <c r="F265" s="24" t="s">
        <v>62</v>
      </c>
      <c r="G265" s="83" t="s">
        <v>782</v>
      </c>
      <c r="H265" s="86" t="s">
        <v>784</v>
      </c>
      <c r="I265" s="20">
        <v>6.501013008E9</v>
      </c>
      <c r="J265" s="20">
        <v>1.509900062357E12</v>
      </c>
      <c r="K265" s="152" t="s">
        <v>785</v>
      </c>
      <c r="L265" s="86" t="s">
        <v>787</v>
      </c>
      <c r="M265" s="41" t="s">
        <v>3428</v>
      </c>
      <c r="N265" s="77" t="s">
        <v>72</v>
      </c>
      <c r="O265" s="77" t="s">
        <v>734</v>
      </c>
      <c r="P265" s="67">
        <v>9.26699916E8</v>
      </c>
      <c r="Q265" s="43"/>
      <c r="R265" s="45" t="s">
        <v>61</v>
      </c>
      <c r="S265" s="46"/>
      <c r="T265" s="66" t="s">
        <v>3429</v>
      </c>
      <c r="U265" s="53">
        <v>30839.0</v>
      </c>
      <c r="V265" s="31" t="s">
        <v>77</v>
      </c>
      <c r="W265" s="55">
        <f t="shared" si="2"/>
        <v>42</v>
      </c>
      <c r="X265" s="55" t="s">
        <v>229</v>
      </c>
      <c r="Y265" s="55" t="s">
        <v>99</v>
      </c>
      <c r="Z265" s="55" t="s">
        <v>3430</v>
      </c>
      <c r="AA265" s="55"/>
      <c r="AB265" s="58" t="s">
        <v>3431</v>
      </c>
      <c r="AC265" s="55"/>
      <c r="AD265" s="55" t="s">
        <v>3432</v>
      </c>
      <c r="AE265" s="55" t="s">
        <v>3433</v>
      </c>
    </row>
    <row r="266">
      <c r="A266" s="103">
        <v>265.0</v>
      </c>
      <c r="B266" s="74" t="s">
        <v>109</v>
      </c>
      <c r="C266" s="35" t="s">
        <v>521</v>
      </c>
      <c r="D266" s="36" t="s">
        <v>800</v>
      </c>
      <c r="E266" s="37" t="str">
        <f t="shared" si="3"/>
        <v>ร.อ. อาคม นพกร</v>
      </c>
      <c r="F266" s="98" t="s">
        <v>115</v>
      </c>
      <c r="G266" s="35" t="s">
        <v>804</v>
      </c>
      <c r="H266" s="36" t="s">
        <v>805</v>
      </c>
      <c r="I266" s="48">
        <v>1.582201589E9</v>
      </c>
      <c r="J266" s="48">
        <v>1.809900727674E12</v>
      </c>
      <c r="K266" s="152" t="s">
        <v>785</v>
      </c>
      <c r="L266" s="86" t="s">
        <v>808</v>
      </c>
      <c r="M266" s="41" t="s">
        <v>3434</v>
      </c>
      <c r="N266" s="77" t="s">
        <v>72</v>
      </c>
      <c r="O266" s="77" t="s">
        <v>734</v>
      </c>
      <c r="P266" s="42">
        <v>8.46905068E8</v>
      </c>
      <c r="Q266" s="43"/>
      <c r="R266" s="45" t="s">
        <v>61</v>
      </c>
      <c r="S266" s="46"/>
      <c r="T266" s="66" t="s">
        <v>3435</v>
      </c>
      <c r="U266" s="222">
        <v>35278.0</v>
      </c>
      <c r="V266" s="31" t="s">
        <v>77</v>
      </c>
      <c r="W266" s="55">
        <f t="shared" si="2"/>
        <v>30</v>
      </c>
      <c r="X266" s="55" t="s">
        <v>98</v>
      </c>
      <c r="Y266" s="55" t="s">
        <v>99</v>
      </c>
      <c r="Z266" s="55" t="s">
        <v>3436</v>
      </c>
      <c r="AA266" s="58" t="s">
        <v>3437</v>
      </c>
      <c r="AB266" s="58" t="s">
        <v>3438</v>
      </c>
      <c r="AC266" s="55"/>
      <c r="AD266" s="55" t="s">
        <v>3439</v>
      </c>
      <c r="AE266" s="55" t="s">
        <v>3440</v>
      </c>
    </row>
    <row r="267">
      <c r="A267" s="103">
        <v>266.0</v>
      </c>
      <c r="B267" s="85" t="s">
        <v>264</v>
      </c>
      <c r="C267" s="83" t="s">
        <v>3441</v>
      </c>
      <c r="D267" s="86" t="s">
        <v>3442</v>
      </c>
      <c r="E267" s="37" t="str">
        <f t="shared" si="3"/>
        <v>จ.ส.อ.หญิง อโนชดา แนบเสลา</v>
      </c>
      <c r="F267" s="82" t="s">
        <v>111</v>
      </c>
      <c r="G267" s="83" t="s">
        <v>3443</v>
      </c>
      <c r="H267" s="86" t="s">
        <v>3444</v>
      </c>
      <c r="I267" s="20">
        <v>6.451071025E9</v>
      </c>
      <c r="J267" s="20">
        <v>3.410101011793E12</v>
      </c>
      <c r="K267" s="152" t="s">
        <v>3445</v>
      </c>
      <c r="L267" s="142" t="s">
        <v>3446</v>
      </c>
      <c r="M267" s="41" t="s">
        <v>3447</v>
      </c>
      <c r="N267" s="77" t="s">
        <v>72</v>
      </c>
      <c r="O267" s="77" t="s">
        <v>734</v>
      </c>
      <c r="P267" s="42">
        <v>6.56956823E8</v>
      </c>
      <c r="Q267" s="43"/>
      <c r="R267" s="45" t="s">
        <v>61</v>
      </c>
      <c r="S267" s="46"/>
      <c r="T267" s="66" t="s">
        <v>3448</v>
      </c>
      <c r="U267" s="53">
        <v>30231.0</v>
      </c>
      <c r="V267" s="31" t="s">
        <v>77</v>
      </c>
      <c r="W267" s="55">
        <f t="shared" si="2"/>
        <v>44</v>
      </c>
      <c r="X267" s="55" t="s">
        <v>229</v>
      </c>
      <c r="Y267" s="55" t="s">
        <v>428</v>
      </c>
      <c r="Z267" s="55" t="s">
        <v>3449</v>
      </c>
      <c r="AA267" s="58" t="s">
        <v>3450</v>
      </c>
      <c r="AB267" s="58" t="s">
        <v>3451</v>
      </c>
      <c r="AC267" s="55"/>
      <c r="AD267" s="55" t="s">
        <v>3452</v>
      </c>
      <c r="AE267" s="55" t="s">
        <v>3453</v>
      </c>
    </row>
    <row r="268">
      <c r="A268" s="103">
        <v>267.0</v>
      </c>
      <c r="B268" s="85" t="s">
        <v>264</v>
      </c>
      <c r="C268" s="83" t="s">
        <v>742</v>
      </c>
      <c r="D268" s="86" t="s">
        <v>3454</v>
      </c>
      <c r="E268" s="37" t="str">
        <f t="shared" si="3"/>
        <v>จ.ส.อ.หญิง อรพรรณ เกิดแก้ว</v>
      </c>
      <c r="F268" s="82" t="s">
        <v>111</v>
      </c>
      <c r="G268" s="83" t="s">
        <v>744</v>
      </c>
      <c r="H268" s="86" t="s">
        <v>3455</v>
      </c>
      <c r="I268" s="20">
        <v>6.391120619E9</v>
      </c>
      <c r="J268" s="20">
        <v>3.700100556157E12</v>
      </c>
      <c r="K268" s="152" t="s">
        <v>3445</v>
      </c>
      <c r="L268" s="86" t="s">
        <v>3456</v>
      </c>
      <c r="M268" s="41" t="s">
        <v>3457</v>
      </c>
      <c r="N268" s="77" t="s">
        <v>72</v>
      </c>
      <c r="O268" s="77" t="s">
        <v>734</v>
      </c>
      <c r="P268" s="42">
        <v>8.94015739E8</v>
      </c>
      <c r="Q268" s="43"/>
      <c r="R268" s="45" t="s">
        <v>61</v>
      </c>
      <c r="S268" s="46"/>
      <c r="T268" s="66" t="s">
        <v>3458</v>
      </c>
      <c r="U268" s="53">
        <v>27923.0</v>
      </c>
      <c r="V268" s="31" t="s">
        <v>77</v>
      </c>
      <c r="W268" s="55">
        <f t="shared" si="2"/>
        <v>50</v>
      </c>
      <c r="X268" s="55" t="s">
        <v>229</v>
      </c>
      <c r="Y268" s="55" t="s">
        <v>428</v>
      </c>
      <c r="Z268" s="55" t="s">
        <v>3459</v>
      </c>
      <c r="AA268" s="55"/>
      <c r="AB268" s="55"/>
      <c r="AC268" s="55"/>
      <c r="AD268" s="55" t="s">
        <v>3460</v>
      </c>
      <c r="AE268" s="55" t="s">
        <v>3461</v>
      </c>
    </row>
    <row r="269">
      <c r="A269" s="103">
        <v>268.0</v>
      </c>
      <c r="B269" s="85" t="s">
        <v>552</v>
      </c>
      <c r="C269" s="83" t="s">
        <v>3462</v>
      </c>
      <c r="D269" s="86" t="s">
        <v>3463</v>
      </c>
      <c r="E269" s="37" t="str">
        <f t="shared" si="3"/>
        <v>ส.อ.หญิง ธมลวรรณ พลุกระโทก</v>
      </c>
      <c r="F269" s="24" t="s">
        <v>353</v>
      </c>
      <c r="G269" s="83" t="s">
        <v>3464</v>
      </c>
      <c r="H269" s="86" t="s">
        <v>3465</v>
      </c>
      <c r="I269" s="20">
        <v>6.611013136E9</v>
      </c>
      <c r="J269" s="20">
        <v>1.200101759297E12</v>
      </c>
      <c r="K269" s="152" t="s">
        <v>3466</v>
      </c>
      <c r="L269" s="86" t="s">
        <v>3456</v>
      </c>
      <c r="M269" s="41" t="s">
        <v>1276</v>
      </c>
      <c r="N269" s="77" t="s">
        <v>72</v>
      </c>
      <c r="O269" s="77" t="s">
        <v>734</v>
      </c>
      <c r="P269" s="42">
        <v>9.72926878E8</v>
      </c>
      <c r="Q269" s="43"/>
      <c r="R269" s="45" t="s">
        <v>61</v>
      </c>
      <c r="S269" s="46"/>
      <c r="T269" s="66" t="s">
        <v>3467</v>
      </c>
      <c r="U269" s="53">
        <v>35856.0</v>
      </c>
      <c r="V269" s="31" t="s">
        <v>77</v>
      </c>
      <c r="W269" s="55">
        <f t="shared" si="2"/>
        <v>28</v>
      </c>
      <c r="X269" s="55" t="s">
        <v>229</v>
      </c>
      <c r="Y269" s="55" t="s">
        <v>428</v>
      </c>
      <c r="Z269" s="55" t="s">
        <v>3468</v>
      </c>
      <c r="AA269" s="58" t="s">
        <v>3469</v>
      </c>
      <c r="AB269" s="58" t="s">
        <v>3470</v>
      </c>
      <c r="AC269" s="55"/>
      <c r="AD269" s="55" t="s">
        <v>3471</v>
      </c>
      <c r="AE269" s="55" t="s">
        <v>3472</v>
      </c>
    </row>
    <row r="270">
      <c r="A270" s="103">
        <v>269.0</v>
      </c>
      <c r="B270" s="171" t="s">
        <v>106</v>
      </c>
      <c r="C270" s="26" t="s">
        <v>3473</v>
      </c>
      <c r="D270" s="29" t="s">
        <v>3474</v>
      </c>
      <c r="E270" s="37" t="str">
        <f t="shared" si="3"/>
        <v>จ.ส.อ. ศิริ ศิริปัญญา</v>
      </c>
      <c r="F270" s="24" t="s">
        <v>111</v>
      </c>
      <c r="G270" s="26" t="s">
        <v>3475</v>
      </c>
      <c r="H270" s="50" t="s">
        <v>3476</v>
      </c>
      <c r="I270" s="39">
        <v>1.571303593E9</v>
      </c>
      <c r="J270" s="39">
        <v>1.509901274463E12</v>
      </c>
      <c r="K270" s="152" t="s">
        <v>3445</v>
      </c>
      <c r="L270" s="29" t="s">
        <v>3477</v>
      </c>
      <c r="M270" s="41" t="s">
        <v>880</v>
      </c>
      <c r="N270" s="77" t="s">
        <v>72</v>
      </c>
      <c r="O270" s="77" t="s">
        <v>734</v>
      </c>
      <c r="P270" s="42">
        <v>9.91366464E8</v>
      </c>
      <c r="Q270" s="43"/>
      <c r="R270" s="45" t="s">
        <v>61</v>
      </c>
      <c r="S270" s="46"/>
      <c r="T270" s="66" t="s">
        <v>3478</v>
      </c>
      <c r="U270" s="53">
        <v>34025.0</v>
      </c>
      <c r="V270" s="31" t="s">
        <v>77</v>
      </c>
      <c r="W270" s="55">
        <f t="shared" si="2"/>
        <v>33</v>
      </c>
      <c r="X270" s="55" t="s">
        <v>98</v>
      </c>
      <c r="Y270" s="55" t="s">
        <v>428</v>
      </c>
      <c r="Z270" s="55" t="s">
        <v>329</v>
      </c>
      <c r="AA270" s="58" t="s">
        <v>3479</v>
      </c>
      <c r="AB270" s="58" t="s">
        <v>3480</v>
      </c>
      <c r="AC270" s="55"/>
      <c r="AD270" s="55" t="s">
        <v>3481</v>
      </c>
      <c r="AE270" s="55" t="s">
        <v>3482</v>
      </c>
    </row>
    <row r="271">
      <c r="A271" s="103">
        <v>270.0</v>
      </c>
      <c r="B271" s="118" t="s">
        <v>349</v>
      </c>
      <c r="C271" s="26" t="s">
        <v>3483</v>
      </c>
      <c r="D271" s="29" t="s">
        <v>3484</v>
      </c>
      <c r="E271" s="37" t="str">
        <f t="shared" si="3"/>
        <v>ส.อ. สุวรรณ ไกรเทพ</v>
      </c>
      <c r="F271" s="24" t="s">
        <v>353</v>
      </c>
      <c r="G271" s="26" t="s">
        <v>3485</v>
      </c>
      <c r="H271" s="50" t="s">
        <v>3486</v>
      </c>
      <c r="I271" s="39">
        <v>1.594800073E9</v>
      </c>
      <c r="J271" s="39">
        <v>1.100702150883E12</v>
      </c>
      <c r="K271" s="152" t="s">
        <v>3445</v>
      </c>
      <c r="L271" s="29" t="s">
        <v>3487</v>
      </c>
      <c r="M271" s="41" t="s">
        <v>1234</v>
      </c>
      <c r="N271" s="77" t="s">
        <v>72</v>
      </c>
      <c r="O271" s="77" t="s">
        <v>734</v>
      </c>
      <c r="P271" s="117" t="s">
        <v>3488</v>
      </c>
      <c r="Q271" s="43"/>
      <c r="R271" s="45" t="s">
        <v>61</v>
      </c>
      <c r="S271" s="46"/>
      <c r="T271" s="66" t="s">
        <v>3489</v>
      </c>
      <c r="U271" s="53">
        <v>34962.0</v>
      </c>
      <c r="V271" s="31" t="s">
        <v>77</v>
      </c>
      <c r="W271" s="55">
        <f t="shared" si="2"/>
        <v>31</v>
      </c>
      <c r="X271" s="55" t="s">
        <v>98</v>
      </c>
      <c r="Y271" s="55" t="s">
        <v>428</v>
      </c>
      <c r="Z271" s="55" t="s">
        <v>72</v>
      </c>
      <c r="AA271" s="58" t="s">
        <v>3490</v>
      </c>
      <c r="AB271" s="58" t="s">
        <v>3491</v>
      </c>
      <c r="AC271" s="55"/>
      <c r="AD271" s="55" t="s">
        <v>3492</v>
      </c>
      <c r="AE271" s="55" t="s">
        <v>3493</v>
      </c>
    </row>
    <row r="272">
      <c r="A272" s="103">
        <v>271.0</v>
      </c>
      <c r="B272" s="118" t="s">
        <v>349</v>
      </c>
      <c r="C272" s="26" t="s">
        <v>3494</v>
      </c>
      <c r="D272" s="29" t="s">
        <v>3495</v>
      </c>
      <c r="E272" s="37" t="str">
        <f t="shared" si="3"/>
        <v>ส.อ. ธีรนัย อินทร์ฉ่ำ</v>
      </c>
      <c r="F272" s="24" t="s">
        <v>353</v>
      </c>
      <c r="G272" s="26" t="s">
        <v>3496</v>
      </c>
      <c r="H272" s="50" t="s">
        <v>3497</v>
      </c>
      <c r="I272" s="39">
        <v>1.602301673E9</v>
      </c>
      <c r="J272" s="39">
        <v>1.600900137587E12</v>
      </c>
      <c r="K272" s="152" t="s">
        <v>3498</v>
      </c>
      <c r="L272" s="29" t="s">
        <v>3499</v>
      </c>
      <c r="M272" s="41" t="s">
        <v>563</v>
      </c>
      <c r="N272" s="77" t="s">
        <v>72</v>
      </c>
      <c r="O272" s="77" t="s">
        <v>734</v>
      </c>
      <c r="P272" s="42">
        <v>6.43984474E8</v>
      </c>
      <c r="Q272" s="43"/>
      <c r="R272" s="45" t="s">
        <v>61</v>
      </c>
      <c r="S272" s="46"/>
      <c r="T272" s="66" t="s">
        <v>3500</v>
      </c>
      <c r="U272" s="53">
        <v>36102.0</v>
      </c>
      <c r="V272" s="31" t="s">
        <v>77</v>
      </c>
      <c r="W272" s="55">
        <f t="shared" si="2"/>
        <v>27</v>
      </c>
      <c r="X272" s="55" t="s">
        <v>98</v>
      </c>
      <c r="Y272" s="55" t="s">
        <v>428</v>
      </c>
      <c r="Z272" s="55" t="s">
        <v>343</v>
      </c>
      <c r="AA272" s="55"/>
      <c r="AB272" s="55"/>
      <c r="AC272" s="55"/>
      <c r="AD272" s="55" t="s">
        <v>3501</v>
      </c>
      <c r="AE272" s="55" t="s">
        <v>3502</v>
      </c>
    </row>
    <row r="273">
      <c r="A273" s="103">
        <v>272.0</v>
      </c>
      <c r="B273" s="118" t="s">
        <v>106</v>
      </c>
      <c r="C273" s="26" t="s">
        <v>1715</v>
      </c>
      <c r="D273" s="29" t="s">
        <v>3081</v>
      </c>
      <c r="E273" s="37" t="str">
        <f t="shared" si="3"/>
        <v>จ.ส.อ. อภิชาติ ปัญญา</v>
      </c>
      <c r="F273" s="82" t="s">
        <v>111</v>
      </c>
      <c r="G273" s="26" t="s">
        <v>1717</v>
      </c>
      <c r="H273" s="50" t="s">
        <v>3083</v>
      </c>
      <c r="I273" s="39">
        <v>1.505001686E9</v>
      </c>
      <c r="J273" s="39">
        <v>1.160100173729E12</v>
      </c>
      <c r="K273" s="152" t="s">
        <v>3503</v>
      </c>
      <c r="L273" s="29" t="s">
        <v>3499</v>
      </c>
      <c r="M273" s="41" t="s">
        <v>1720</v>
      </c>
      <c r="N273" s="77" t="s">
        <v>72</v>
      </c>
      <c r="O273" s="77" t="s">
        <v>734</v>
      </c>
      <c r="P273" s="67">
        <v>9.357087E8</v>
      </c>
      <c r="Q273" s="43"/>
      <c r="R273" s="45" t="s">
        <v>61</v>
      </c>
      <c r="S273" s="46"/>
      <c r="T273" s="66" t="s">
        <v>3504</v>
      </c>
      <c r="U273" s="53">
        <v>31802.0</v>
      </c>
      <c r="V273" s="31" t="s">
        <v>77</v>
      </c>
      <c r="W273" s="55">
        <f t="shared" si="2"/>
        <v>39</v>
      </c>
      <c r="X273" s="55" t="s">
        <v>98</v>
      </c>
      <c r="Y273" s="55" t="s">
        <v>428</v>
      </c>
      <c r="Z273" s="55" t="s">
        <v>1371</v>
      </c>
      <c r="AA273" s="58" t="s">
        <v>3505</v>
      </c>
      <c r="AB273" s="58" t="s">
        <v>3506</v>
      </c>
      <c r="AC273" s="55"/>
      <c r="AD273" s="55" t="s">
        <v>3507</v>
      </c>
      <c r="AE273" s="55" t="s">
        <v>3508</v>
      </c>
    </row>
    <row r="274">
      <c r="A274" s="223">
        <v>273.0</v>
      </c>
      <c r="B274" s="224" t="s">
        <v>106</v>
      </c>
      <c r="C274" s="225" t="s">
        <v>3509</v>
      </c>
      <c r="D274" s="226" t="s">
        <v>3510</v>
      </c>
      <c r="E274" s="177" t="str">
        <f t="shared" si="3"/>
        <v>จ.ส.อ. วัชรพงษ์ มีชัย</v>
      </c>
      <c r="F274" s="227" t="s">
        <v>111</v>
      </c>
      <c r="G274" s="225" t="s">
        <v>3511</v>
      </c>
      <c r="H274" s="228" t="s">
        <v>3512</v>
      </c>
      <c r="I274" s="183">
        <v>1.536200141E9</v>
      </c>
      <c r="J274" s="183">
        <v>1.179900236006E12</v>
      </c>
      <c r="K274" s="229" t="s">
        <v>3503</v>
      </c>
      <c r="L274" s="226" t="s">
        <v>3513</v>
      </c>
      <c r="M274" s="230" t="s">
        <v>1211</v>
      </c>
      <c r="N274" s="231" t="s">
        <v>188</v>
      </c>
      <c r="O274" s="231" t="s">
        <v>734</v>
      </c>
      <c r="P274" s="184">
        <v>9.57490692E8</v>
      </c>
      <c r="Q274" s="232"/>
      <c r="R274" s="233" t="s">
        <v>61</v>
      </c>
      <c r="S274" s="234"/>
      <c r="T274" s="66" t="s">
        <v>3514</v>
      </c>
      <c r="U274" s="57">
        <v>33780.0</v>
      </c>
      <c r="V274" s="31" t="s">
        <v>77</v>
      </c>
      <c r="W274" s="214">
        <f t="shared" si="2"/>
        <v>34</v>
      </c>
      <c r="X274" s="214" t="s">
        <v>98</v>
      </c>
      <c r="Y274" s="214" t="s">
        <v>428</v>
      </c>
      <c r="Z274" s="214" t="s">
        <v>3515</v>
      </c>
      <c r="AA274" s="235" t="s">
        <v>3516</v>
      </c>
      <c r="AB274" s="235" t="s">
        <v>3517</v>
      </c>
      <c r="AC274" s="214"/>
      <c r="AD274" s="214" t="s">
        <v>3518</v>
      </c>
      <c r="AE274" s="214" t="s">
        <v>3519</v>
      </c>
    </row>
    <row r="275" ht="28.5" customHeight="1">
      <c r="A275" s="213"/>
      <c r="B275" s="236"/>
      <c r="C275" s="213"/>
      <c r="D275" s="213"/>
      <c r="F275" s="236"/>
      <c r="G275" s="213"/>
      <c r="H275" s="213"/>
      <c r="I275" s="213"/>
      <c r="J275" s="213"/>
      <c r="K275" s="237"/>
      <c r="L275" s="238"/>
      <c r="M275" s="238"/>
      <c r="N275" s="213"/>
      <c r="O275" s="213"/>
      <c r="P275" s="239"/>
      <c r="Q275" s="240"/>
      <c r="R275" s="213"/>
      <c r="S275" s="213"/>
      <c r="T275" s="213"/>
      <c r="U275" s="216"/>
      <c r="V275" s="216"/>
      <c r="W275" s="216"/>
      <c r="X275" s="216"/>
      <c r="Y275" s="216"/>
      <c r="Z275" s="216"/>
      <c r="AA275" s="241">
        <f>COUNTA(AA2:AA274)</f>
        <v>240</v>
      </c>
      <c r="AB275" s="216"/>
      <c r="AC275" s="216"/>
      <c r="AD275" s="216"/>
      <c r="AE275" s="216"/>
    </row>
    <row r="276">
      <c r="A276" s="213"/>
      <c r="B276" s="236"/>
      <c r="C276" s="213"/>
      <c r="D276" s="213"/>
      <c r="F276" s="236"/>
      <c r="G276" s="213"/>
      <c r="H276" s="213"/>
      <c r="I276" s="213"/>
      <c r="J276" s="213"/>
      <c r="K276" s="237"/>
      <c r="L276" s="238"/>
      <c r="M276" s="238"/>
      <c r="N276" s="213"/>
      <c r="O276" s="213"/>
      <c r="P276" s="239"/>
      <c r="Q276" s="240"/>
      <c r="R276" s="213"/>
      <c r="S276" s="213"/>
      <c r="T276" s="213"/>
      <c r="U276" s="216"/>
      <c r="V276" s="216"/>
      <c r="W276" s="216"/>
      <c r="X276" s="216"/>
      <c r="Y276" s="216"/>
      <c r="Z276" s="216"/>
      <c r="AA276" s="216"/>
      <c r="AB276" s="216"/>
      <c r="AC276" s="216"/>
      <c r="AD276" s="216"/>
      <c r="AE276" s="216"/>
    </row>
    <row r="277">
      <c r="A277" s="213"/>
      <c r="B277" s="236"/>
      <c r="C277" s="213"/>
      <c r="D277" s="213"/>
      <c r="F277" s="236"/>
      <c r="G277" s="213"/>
      <c r="H277" s="213"/>
      <c r="I277" s="213"/>
      <c r="J277" s="213"/>
      <c r="K277" s="237"/>
      <c r="L277" s="238"/>
      <c r="M277" s="238"/>
      <c r="N277" s="213"/>
      <c r="O277" s="213"/>
      <c r="P277" s="239"/>
      <c r="Q277" s="240"/>
      <c r="R277" s="213"/>
      <c r="S277" s="213"/>
      <c r="T277" s="213"/>
      <c r="U277" s="216"/>
      <c r="V277" s="216"/>
      <c r="W277" s="216"/>
      <c r="X277" s="216"/>
      <c r="Y277" s="216"/>
      <c r="Z277" s="216"/>
      <c r="AA277" s="216"/>
      <c r="AB277" s="216"/>
      <c r="AC277" s="216"/>
      <c r="AD277" s="216"/>
      <c r="AE277" s="216"/>
    </row>
    <row r="278">
      <c r="A278" s="213"/>
      <c r="B278" s="236"/>
      <c r="C278" s="213"/>
      <c r="D278" s="213"/>
      <c r="F278" s="236"/>
      <c r="G278" s="213"/>
      <c r="H278" s="213"/>
      <c r="I278" s="213"/>
      <c r="J278" s="213"/>
      <c r="K278" s="237"/>
      <c r="L278" s="238"/>
      <c r="M278" s="238"/>
      <c r="N278" s="213"/>
      <c r="O278" s="213"/>
      <c r="P278" s="239"/>
      <c r="Q278" s="240"/>
      <c r="R278" s="213"/>
      <c r="S278" s="213"/>
      <c r="T278" s="213"/>
      <c r="U278" s="216"/>
      <c r="V278" s="216"/>
      <c r="W278" s="216"/>
      <c r="X278" s="216"/>
      <c r="Y278" s="216"/>
      <c r="Z278" s="216"/>
      <c r="AA278" s="216"/>
      <c r="AB278" s="216"/>
      <c r="AC278" s="216"/>
      <c r="AD278" s="216"/>
      <c r="AE278" s="216"/>
    </row>
    <row r="279">
      <c r="K279" s="237"/>
      <c r="P279" s="242"/>
      <c r="Q279" s="207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</row>
    <row r="280">
      <c r="K280" s="237"/>
      <c r="P280" s="242"/>
      <c r="Q280" s="207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</row>
    <row r="281">
      <c r="K281" s="237"/>
      <c r="P281" s="242"/>
      <c r="Q281" s="207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</row>
    <row r="282">
      <c r="K282" s="237"/>
      <c r="P282" s="242"/>
      <c r="Q282" s="207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</row>
    <row r="283">
      <c r="K283" s="237"/>
      <c r="P283" s="242"/>
      <c r="Q283" s="207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</row>
    <row r="284">
      <c r="K284" s="237"/>
      <c r="P284" s="242"/>
      <c r="Q284" s="207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</row>
    <row r="285">
      <c r="K285" s="237"/>
      <c r="P285" s="242"/>
      <c r="Q285" s="207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</row>
    <row r="286">
      <c r="K286" s="237"/>
      <c r="P286" s="242"/>
      <c r="Q286" s="207"/>
      <c r="U286" s="243"/>
      <c r="V286" s="243"/>
      <c r="W286" s="243"/>
      <c r="X286" s="243"/>
      <c r="Y286" s="243"/>
      <c r="Z286" s="243"/>
      <c r="AA286" s="243"/>
      <c r="AB286" s="243"/>
      <c r="AC286" s="243"/>
      <c r="AD286" s="243"/>
      <c r="AE286" s="243"/>
    </row>
    <row r="287">
      <c r="K287" s="237"/>
      <c r="P287" s="242"/>
      <c r="Q287" s="207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</row>
    <row r="288">
      <c r="K288" s="237"/>
      <c r="P288" s="242"/>
      <c r="Q288" s="207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</row>
    <row r="289">
      <c r="K289" s="237"/>
      <c r="P289" s="242"/>
      <c r="Q289" s="207"/>
      <c r="U289" s="243"/>
      <c r="V289" s="243"/>
      <c r="W289" s="243"/>
      <c r="X289" s="243"/>
      <c r="Y289" s="243"/>
      <c r="Z289" s="243"/>
      <c r="AA289" s="243"/>
      <c r="AB289" s="243"/>
      <c r="AC289" s="243"/>
      <c r="AD289" s="243"/>
      <c r="AE289" s="243"/>
    </row>
    <row r="290">
      <c r="K290" s="237"/>
      <c r="P290" s="242"/>
      <c r="Q290" s="207"/>
      <c r="U290" s="243"/>
      <c r="V290" s="243"/>
      <c r="W290" s="243"/>
      <c r="X290" s="243"/>
      <c r="Y290" s="243"/>
      <c r="Z290" s="243"/>
      <c r="AA290" s="243"/>
      <c r="AB290" s="243"/>
      <c r="AC290" s="243"/>
      <c r="AD290" s="243"/>
      <c r="AE290" s="243"/>
    </row>
    <row r="291">
      <c r="K291" s="237"/>
      <c r="P291" s="242"/>
      <c r="Q291" s="207"/>
      <c r="U291" s="243"/>
      <c r="V291" s="243"/>
      <c r="W291" s="243"/>
      <c r="X291" s="243"/>
      <c r="Y291" s="243"/>
      <c r="Z291" s="243"/>
      <c r="AA291" s="243"/>
      <c r="AB291" s="243"/>
      <c r="AC291" s="243"/>
      <c r="AD291" s="243"/>
      <c r="AE291" s="243"/>
    </row>
    <row r="292">
      <c r="K292" s="237"/>
      <c r="P292" s="242"/>
      <c r="Q292" s="207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</row>
    <row r="293">
      <c r="K293" s="237"/>
      <c r="P293" s="242"/>
      <c r="Q293" s="207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</row>
    <row r="294">
      <c r="K294" s="237"/>
      <c r="P294" s="242"/>
      <c r="Q294" s="207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</row>
    <row r="295">
      <c r="K295" s="237"/>
      <c r="P295" s="242"/>
      <c r="Q295" s="207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</row>
    <row r="296">
      <c r="K296" s="237"/>
      <c r="P296" s="242"/>
      <c r="Q296" s="207"/>
      <c r="U296" s="243"/>
      <c r="V296" s="243"/>
      <c r="W296" s="243"/>
      <c r="X296" s="243"/>
      <c r="Y296" s="243"/>
      <c r="Z296" s="243"/>
      <c r="AA296" s="243"/>
      <c r="AB296" s="243"/>
      <c r="AC296" s="243"/>
      <c r="AD296" s="243"/>
      <c r="AE296" s="243"/>
    </row>
    <row r="297">
      <c r="K297" s="237"/>
      <c r="P297" s="242"/>
      <c r="Q297" s="207"/>
      <c r="U297" s="243"/>
      <c r="V297" s="243"/>
      <c r="W297" s="243"/>
      <c r="X297" s="243"/>
      <c r="Y297" s="243"/>
      <c r="Z297" s="243"/>
      <c r="AA297" s="243"/>
      <c r="AB297" s="243"/>
      <c r="AC297" s="243"/>
      <c r="AD297" s="243"/>
      <c r="AE297" s="243"/>
    </row>
    <row r="298">
      <c r="K298" s="237"/>
      <c r="P298" s="242"/>
      <c r="Q298" s="207"/>
      <c r="U298" s="243"/>
      <c r="V298" s="243"/>
      <c r="W298" s="243"/>
      <c r="X298" s="243"/>
      <c r="Y298" s="243"/>
      <c r="Z298" s="243"/>
      <c r="AA298" s="243"/>
      <c r="AB298" s="243"/>
      <c r="AC298" s="243"/>
      <c r="AD298" s="243"/>
      <c r="AE298" s="243"/>
    </row>
    <row r="299">
      <c r="K299" s="237"/>
      <c r="P299" s="242"/>
      <c r="Q299" s="207"/>
      <c r="U299" s="243"/>
      <c r="V299" s="243"/>
      <c r="W299" s="243"/>
      <c r="X299" s="243"/>
      <c r="Y299" s="243"/>
      <c r="Z299" s="243"/>
      <c r="AA299" s="243"/>
      <c r="AB299" s="243"/>
      <c r="AC299" s="243"/>
      <c r="AD299" s="243"/>
      <c r="AE299" s="243"/>
    </row>
    <row r="300">
      <c r="K300" s="237"/>
      <c r="P300" s="242"/>
      <c r="Q300" s="207"/>
      <c r="U300" s="243"/>
      <c r="V300" s="243"/>
      <c r="W300" s="243"/>
      <c r="X300" s="243"/>
      <c r="Y300" s="243"/>
      <c r="Z300" s="243"/>
      <c r="AA300" s="243"/>
      <c r="AB300" s="243"/>
      <c r="AC300" s="243"/>
      <c r="AD300" s="243"/>
      <c r="AE300" s="243"/>
    </row>
    <row r="301">
      <c r="K301" s="237"/>
      <c r="P301" s="242"/>
      <c r="Q301" s="207"/>
      <c r="U301" s="243"/>
      <c r="V301" s="243"/>
      <c r="W301" s="243"/>
      <c r="X301" s="243"/>
      <c r="Y301" s="243"/>
      <c r="Z301" s="243"/>
      <c r="AA301" s="243"/>
      <c r="AB301" s="243"/>
      <c r="AC301" s="243"/>
      <c r="AD301" s="243"/>
      <c r="AE301" s="243"/>
    </row>
    <row r="302">
      <c r="K302" s="237"/>
      <c r="P302" s="242"/>
      <c r="Q302" s="207"/>
      <c r="U302" s="243"/>
      <c r="V302" s="243"/>
      <c r="W302" s="243"/>
      <c r="X302" s="243"/>
      <c r="Y302" s="243"/>
      <c r="Z302" s="243"/>
      <c r="AA302" s="243"/>
      <c r="AB302" s="243"/>
      <c r="AC302" s="243"/>
      <c r="AD302" s="243"/>
      <c r="AE302" s="243"/>
    </row>
    <row r="303">
      <c r="K303" s="237"/>
      <c r="P303" s="242"/>
      <c r="Q303" s="207"/>
      <c r="U303" s="243"/>
      <c r="V303" s="243"/>
      <c r="W303" s="243"/>
      <c r="X303" s="243"/>
      <c r="Y303" s="243"/>
      <c r="Z303" s="243"/>
      <c r="AA303" s="243"/>
      <c r="AB303" s="243"/>
      <c r="AC303" s="243"/>
      <c r="AD303" s="243"/>
      <c r="AE303" s="243"/>
    </row>
    <row r="304">
      <c r="K304" s="237"/>
      <c r="P304" s="242"/>
      <c r="Q304" s="207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</row>
    <row r="305">
      <c r="K305" s="237"/>
      <c r="P305" s="242"/>
      <c r="Q305" s="207"/>
      <c r="U305" s="243"/>
      <c r="V305" s="243"/>
      <c r="W305" s="243"/>
      <c r="X305" s="243"/>
      <c r="Y305" s="243"/>
      <c r="Z305" s="243"/>
      <c r="AA305" s="243"/>
      <c r="AB305" s="243"/>
      <c r="AC305" s="243"/>
      <c r="AD305" s="243"/>
      <c r="AE305" s="243"/>
    </row>
    <row r="306">
      <c r="K306" s="237"/>
      <c r="P306" s="242"/>
      <c r="Q306" s="207"/>
      <c r="U306" s="243"/>
      <c r="V306" s="243"/>
      <c r="W306" s="243"/>
      <c r="X306" s="243"/>
      <c r="Y306" s="243"/>
      <c r="Z306" s="243"/>
      <c r="AA306" s="243"/>
      <c r="AB306" s="243"/>
      <c r="AC306" s="243"/>
      <c r="AD306" s="243"/>
      <c r="AE306" s="243"/>
    </row>
    <row r="307">
      <c r="K307" s="237"/>
      <c r="P307" s="242"/>
      <c r="Q307" s="207"/>
      <c r="U307" s="243"/>
      <c r="V307" s="243"/>
      <c r="W307" s="243"/>
      <c r="X307" s="243"/>
      <c r="Y307" s="243"/>
      <c r="Z307" s="243"/>
      <c r="AA307" s="243"/>
      <c r="AB307" s="243"/>
      <c r="AC307" s="243"/>
      <c r="AD307" s="243"/>
      <c r="AE307" s="243"/>
    </row>
    <row r="308">
      <c r="K308" s="237"/>
      <c r="P308" s="242"/>
      <c r="Q308" s="207"/>
      <c r="U308" s="243"/>
      <c r="V308" s="243"/>
      <c r="W308" s="243"/>
      <c r="X308" s="243"/>
      <c r="Y308" s="243"/>
      <c r="Z308" s="243"/>
      <c r="AA308" s="243"/>
      <c r="AB308" s="243"/>
      <c r="AC308" s="243"/>
      <c r="AD308" s="243"/>
      <c r="AE308" s="243"/>
    </row>
    <row r="309">
      <c r="K309" s="237"/>
      <c r="P309" s="242"/>
      <c r="Q309" s="207"/>
      <c r="U309" s="243"/>
      <c r="V309" s="243"/>
      <c r="W309" s="243"/>
      <c r="X309" s="243"/>
      <c r="Y309" s="243"/>
      <c r="Z309" s="243"/>
      <c r="AA309" s="243"/>
      <c r="AB309" s="243"/>
      <c r="AC309" s="243"/>
      <c r="AD309" s="243"/>
      <c r="AE309" s="243"/>
    </row>
    <row r="310">
      <c r="K310" s="237"/>
      <c r="P310" s="242"/>
      <c r="Q310" s="207"/>
      <c r="U310" s="243"/>
      <c r="V310" s="243"/>
      <c r="W310" s="243"/>
      <c r="X310" s="243"/>
      <c r="Y310" s="243"/>
      <c r="Z310" s="243"/>
      <c r="AA310" s="243"/>
      <c r="AB310" s="243"/>
      <c r="AC310" s="243"/>
      <c r="AD310" s="243"/>
      <c r="AE310" s="243"/>
    </row>
    <row r="311">
      <c r="K311" s="237"/>
      <c r="P311" s="242"/>
      <c r="Q311" s="207"/>
      <c r="U311" s="243"/>
      <c r="V311" s="243"/>
      <c r="W311" s="243"/>
      <c r="X311" s="243"/>
      <c r="Y311" s="243"/>
      <c r="Z311" s="243"/>
      <c r="AA311" s="243"/>
      <c r="AB311" s="243"/>
      <c r="AC311" s="243"/>
      <c r="AD311" s="243"/>
      <c r="AE311" s="243"/>
    </row>
    <row r="312">
      <c r="K312" s="237"/>
      <c r="P312" s="242"/>
      <c r="Q312" s="207"/>
      <c r="U312" s="243"/>
      <c r="V312" s="243"/>
      <c r="W312" s="243"/>
      <c r="X312" s="243"/>
      <c r="Y312" s="243"/>
      <c r="Z312" s="243"/>
      <c r="AA312" s="243"/>
      <c r="AB312" s="243"/>
      <c r="AC312" s="243"/>
      <c r="AD312" s="243"/>
      <c r="AE312" s="243"/>
    </row>
    <row r="313">
      <c r="K313" s="237"/>
      <c r="P313" s="242"/>
      <c r="Q313" s="207"/>
      <c r="U313" s="243"/>
      <c r="V313" s="243"/>
      <c r="W313" s="243"/>
      <c r="X313" s="243"/>
      <c r="Y313" s="243"/>
      <c r="Z313" s="243"/>
      <c r="AA313" s="243"/>
      <c r="AB313" s="243"/>
      <c r="AC313" s="243"/>
      <c r="AD313" s="243"/>
      <c r="AE313" s="243"/>
    </row>
    <row r="314">
      <c r="K314" s="237"/>
      <c r="P314" s="242"/>
      <c r="Q314" s="207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</row>
    <row r="315">
      <c r="K315" s="237"/>
      <c r="P315" s="242"/>
      <c r="Q315" s="207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</row>
    <row r="316">
      <c r="K316" s="237"/>
      <c r="P316" s="242"/>
      <c r="Q316" s="207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</row>
    <row r="317">
      <c r="K317" s="237"/>
      <c r="P317" s="242"/>
      <c r="Q317" s="207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</row>
    <row r="318">
      <c r="K318" s="237"/>
      <c r="P318" s="242"/>
      <c r="Q318" s="207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</row>
    <row r="319">
      <c r="K319" s="237"/>
      <c r="P319" s="242"/>
      <c r="Q319" s="207"/>
      <c r="U319" s="243"/>
      <c r="V319" s="243"/>
      <c r="W319" s="243"/>
      <c r="X319" s="243"/>
      <c r="Y319" s="243"/>
      <c r="Z319" s="243"/>
      <c r="AA319" s="243"/>
      <c r="AB319" s="243"/>
      <c r="AC319" s="243"/>
      <c r="AD319" s="243"/>
      <c r="AE319" s="243"/>
    </row>
    <row r="320">
      <c r="K320" s="237"/>
      <c r="P320" s="242"/>
      <c r="Q320" s="207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</row>
    <row r="321">
      <c r="K321" s="237"/>
      <c r="P321" s="242"/>
      <c r="Q321" s="207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</row>
    <row r="322">
      <c r="K322" s="237"/>
      <c r="P322" s="242"/>
      <c r="Q322" s="207"/>
      <c r="U322" s="243"/>
      <c r="V322" s="243"/>
      <c r="W322" s="243"/>
      <c r="X322" s="243"/>
      <c r="Y322" s="243"/>
      <c r="Z322" s="243"/>
      <c r="AA322" s="243"/>
      <c r="AB322" s="243"/>
      <c r="AC322" s="243"/>
      <c r="AD322" s="243"/>
      <c r="AE322" s="243"/>
    </row>
    <row r="323">
      <c r="K323" s="237"/>
      <c r="P323" s="242"/>
      <c r="Q323" s="207"/>
      <c r="U323" s="243"/>
      <c r="V323" s="243"/>
      <c r="W323" s="243"/>
      <c r="X323" s="243"/>
      <c r="Y323" s="243"/>
      <c r="Z323" s="243"/>
      <c r="AA323" s="243"/>
      <c r="AB323" s="243"/>
      <c r="AC323" s="243"/>
      <c r="AD323" s="243"/>
      <c r="AE323" s="243"/>
    </row>
    <row r="324">
      <c r="K324" s="237"/>
      <c r="P324" s="242"/>
      <c r="Q324" s="207"/>
      <c r="U324" s="243"/>
      <c r="V324" s="243"/>
      <c r="W324" s="243"/>
      <c r="X324" s="243"/>
      <c r="Y324" s="243"/>
      <c r="Z324" s="243"/>
      <c r="AA324" s="243"/>
      <c r="AB324" s="243"/>
      <c r="AC324" s="243"/>
      <c r="AD324" s="243"/>
      <c r="AE324" s="243"/>
    </row>
    <row r="325">
      <c r="K325" s="237"/>
      <c r="P325" s="242"/>
      <c r="Q325" s="207"/>
      <c r="U325" s="243"/>
      <c r="V325" s="243"/>
      <c r="W325" s="243"/>
      <c r="X325" s="243"/>
      <c r="Y325" s="243"/>
      <c r="Z325" s="243"/>
      <c r="AA325" s="243"/>
      <c r="AB325" s="243"/>
      <c r="AC325" s="243"/>
      <c r="AD325" s="243"/>
      <c r="AE325" s="243"/>
    </row>
    <row r="326">
      <c r="K326" s="237"/>
      <c r="P326" s="242"/>
      <c r="Q326" s="207"/>
      <c r="U326" s="243"/>
      <c r="V326" s="243"/>
      <c r="W326" s="243"/>
      <c r="X326" s="243"/>
      <c r="Y326" s="243"/>
      <c r="Z326" s="243"/>
      <c r="AA326" s="243"/>
      <c r="AB326" s="243"/>
      <c r="AC326" s="243"/>
      <c r="AD326" s="243"/>
      <c r="AE326" s="243"/>
    </row>
    <row r="327">
      <c r="K327" s="237"/>
      <c r="P327" s="242"/>
      <c r="Q327" s="207"/>
      <c r="U327" s="243"/>
      <c r="V327" s="243"/>
      <c r="W327" s="243"/>
      <c r="X327" s="243"/>
      <c r="Y327" s="243"/>
      <c r="Z327" s="243"/>
      <c r="AA327" s="243"/>
      <c r="AB327" s="243"/>
      <c r="AC327" s="243"/>
      <c r="AD327" s="243"/>
      <c r="AE327" s="243"/>
    </row>
    <row r="328">
      <c r="K328" s="237"/>
      <c r="P328" s="242"/>
      <c r="Q328" s="207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</row>
    <row r="329">
      <c r="K329" s="237"/>
      <c r="P329" s="242"/>
      <c r="Q329" s="207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</row>
    <row r="330">
      <c r="K330" s="237"/>
      <c r="P330" s="242"/>
      <c r="Q330" s="207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</row>
    <row r="331">
      <c r="K331" s="237"/>
      <c r="P331" s="242"/>
      <c r="Q331" s="207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</row>
    <row r="332">
      <c r="K332" s="237"/>
      <c r="P332" s="242"/>
      <c r="Q332" s="207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</row>
    <row r="333">
      <c r="K333" s="237"/>
      <c r="P333" s="242"/>
      <c r="Q333" s="207"/>
      <c r="U333" s="243"/>
      <c r="V333" s="243"/>
      <c r="W333" s="243"/>
      <c r="X333" s="243"/>
      <c r="Y333" s="243"/>
      <c r="Z333" s="243"/>
      <c r="AA333" s="243"/>
      <c r="AB333" s="243"/>
      <c r="AC333" s="243"/>
      <c r="AD333" s="243"/>
      <c r="AE333" s="243"/>
    </row>
    <row r="334">
      <c r="K334" s="237"/>
      <c r="P334" s="242"/>
      <c r="Q334" s="207"/>
      <c r="U334" s="243"/>
      <c r="V334" s="243"/>
      <c r="W334" s="243"/>
      <c r="X334" s="243"/>
      <c r="Y334" s="243"/>
      <c r="Z334" s="243"/>
      <c r="AA334" s="243"/>
      <c r="AB334" s="243"/>
      <c r="AC334" s="243"/>
      <c r="AD334" s="243"/>
      <c r="AE334" s="243"/>
    </row>
    <row r="335">
      <c r="K335" s="237"/>
      <c r="P335" s="242"/>
      <c r="Q335" s="207"/>
      <c r="U335" s="243"/>
      <c r="V335" s="243"/>
      <c r="W335" s="243"/>
      <c r="X335" s="243"/>
      <c r="Y335" s="243"/>
      <c r="Z335" s="243"/>
      <c r="AA335" s="243"/>
      <c r="AB335" s="243"/>
      <c r="AC335" s="243"/>
      <c r="AD335" s="243"/>
      <c r="AE335" s="243"/>
    </row>
    <row r="336">
      <c r="K336" s="237"/>
      <c r="P336" s="242"/>
      <c r="Q336" s="207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</row>
    <row r="337">
      <c r="K337" s="237"/>
      <c r="P337" s="242"/>
      <c r="Q337" s="207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</row>
    <row r="338">
      <c r="K338" s="237"/>
      <c r="P338" s="242"/>
      <c r="Q338" s="207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</row>
    <row r="339">
      <c r="K339" s="237"/>
      <c r="P339" s="242"/>
      <c r="Q339" s="207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</row>
    <row r="340">
      <c r="K340" s="237"/>
      <c r="P340" s="242"/>
      <c r="Q340" s="207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</row>
    <row r="341">
      <c r="K341" s="237"/>
      <c r="P341" s="242"/>
      <c r="Q341" s="207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</row>
    <row r="342">
      <c r="K342" s="237"/>
      <c r="P342" s="242"/>
      <c r="Q342" s="207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</row>
    <row r="343">
      <c r="K343" s="237"/>
      <c r="P343" s="242"/>
      <c r="Q343" s="207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</row>
    <row r="344">
      <c r="K344" s="237"/>
      <c r="P344" s="242"/>
      <c r="Q344" s="207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</row>
    <row r="345">
      <c r="K345" s="237"/>
      <c r="P345" s="242"/>
      <c r="Q345" s="207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</row>
    <row r="346">
      <c r="K346" s="237"/>
      <c r="P346" s="242"/>
      <c r="Q346" s="207"/>
      <c r="U346" s="243"/>
      <c r="V346" s="243"/>
      <c r="W346" s="243"/>
      <c r="X346" s="243"/>
      <c r="Y346" s="243"/>
      <c r="Z346" s="243"/>
      <c r="AA346" s="243"/>
      <c r="AB346" s="243"/>
      <c r="AC346" s="243"/>
      <c r="AD346" s="243"/>
      <c r="AE346" s="243"/>
    </row>
    <row r="347">
      <c r="K347" s="237"/>
      <c r="P347" s="242"/>
      <c r="Q347" s="207"/>
      <c r="U347" s="243"/>
      <c r="V347" s="243"/>
      <c r="W347" s="243"/>
      <c r="X347" s="243"/>
      <c r="Y347" s="243"/>
      <c r="Z347" s="243"/>
      <c r="AA347" s="243"/>
      <c r="AB347" s="243"/>
      <c r="AC347" s="243"/>
      <c r="AD347" s="243"/>
      <c r="AE347" s="243"/>
    </row>
    <row r="348">
      <c r="K348" s="237"/>
      <c r="P348" s="242"/>
      <c r="Q348" s="207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</row>
    <row r="349">
      <c r="K349" s="237"/>
      <c r="P349" s="242"/>
      <c r="Q349" s="207"/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</row>
    <row r="350">
      <c r="K350" s="237"/>
      <c r="P350" s="242"/>
      <c r="Q350" s="207"/>
      <c r="U350" s="243"/>
      <c r="V350" s="243"/>
      <c r="W350" s="243"/>
      <c r="X350" s="243"/>
      <c r="Y350" s="243"/>
      <c r="Z350" s="243"/>
      <c r="AA350" s="243"/>
      <c r="AB350" s="243"/>
      <c r="AC350" s="243"/>
      <c r="AD350" s="243"/>
      <c r="AE350" s="243"/>
    </row>
    <row r="351">
      <c r="K351" s="237"/>
      <c r="P351" s="242"/>
      <c r="Q351" s="207"/>
      <c r="U351" s="243"/>
      <c r="V351" s="243"/>
      <c r="W351" s="243"/>
      <c r="X351" s="243"/>
      <c r="Y351" s="243"/>
      <c r="Z351" s="243"/>
      <c r="AA351" s="243"/>
      <c r="AB351" s="243"/>
      <c r="AC351" s="243"/>
      <c r="AD351" s="243"/>
      <c r="AE351" s="243"/>
    </row>
    <row r="352">
      <c r="K352" s="237"/>
      <c r="P352" s="242"/>
      <c r="Q352" s="207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</row>
    <row r="353">
      <c r="K353" s="237"/>
      <c r="P353" s="242"/>
      <c r="Q353" s="207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</row>
    <row r="354">
      <c r="K354" s="237"/>
      <c r="P354" s="242"/>
      <c r="Q354" s="207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</row>
    <row r="355">
      <c r="K355" s="237"/>
      <c r="P355" s="242"/>
      <c r="Q355" s="207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</row>
    <row r="356">
      <c r="K356" s="237"/>
      <c r="P356" s="242"/>
      <c r="Q356" s="207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</row>
    <row r="357">
      <c r="K357" s="237"/>
      <c r="P357" s="242"/>
      <c r="Q357" s="207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</row>
    <row r="358">
      <c r="K358" s="237"/>
      <c r="P358" s="242"/>
      <c r="Q358" s="207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</row>
    <row r="359">
      <c r="K359" s="237"/>
      <c r="P359" s="242"/>
      <c r="Q359" s="207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</row>
    <row r="360">
      <c r="K360" s="237"/>
      <c r="P360" s="242"/>
      <c r="Q360" s="207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</row>
    <row r="361">
      <c r="K361" s="237"/>
      <c r="P361" s="242"/>
      <c r="Q361" s="207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</row>
    <row r="362">
      <c r="K362" s="237"/>
      <c r="P362" s="242"/>
      <c r="Q362" s="207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</row>
    <row r="363">
      <c r="K363" s="237"/>
      <c r="P363" s="242"/>
      <c r="Q363" s="207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</row>
    <row r="364">
      <c r="K364" s="237"/>
      <c r="P364" s="242"/>
      <c r="Q364" s="207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</row>
    <row r="365">
      <c r="K365" s="237"/>
      <c r="P365" s="242"/>
      <c r="Q365" s="207"/>
      <c r="U365" s="243"/>
      <c r="V365" s="243"/>
      <c r="W365" s="243"/>
      <c r="X365" s="243"/>
      <c r="Y365" s="243"/>
      <c r="Z365" s="243"/>
      <c r="AA365" s="243"/>
      <c r="AB365" s="243"/>
      <c r="AC365" s="243"/>
      <c r="AD365" s="243"/>
      <c r="AE365" s="243"/>
    </row>
    <row r="366">
      <c r="K366" s="237"/>
      <c r="P366" s="242"/>
      <c r="Q366" s="207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</row>
    <row r="367">
      <c r="K367" s="237"/>
      <c r="P367" s="242"/>
      <c r="Q367" s="207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</row>
    <row r="368">
      <c r="K368" s="237"/>
      <c r="P368" s="242"/>
      <c r="Q368" s="207"/>
      <c r="U368" s="243"/>
      <c r="V368" s="243"/>
      <c r="W368" s="243"/>
      <c r="X368" s="243"/>
      <c r="Y368" s="243"/>
      <c r="Z368" s="243"/>
      <c r="AA368" s="243"/>
      <c r="AB368" s="243"/>
      <c r="AC368" s="243"/>
      <c r="AD368" s="243"/>
      <c r="AE368" s="243"/>
    </row>
    <row r="369">
      <c r="K369" s="237"/>
      <c r="P369" s="242"/>
      <c r="Q369" s="207"/>
      <c r="U369" s="243"/>
      <c r="V369" s="243"/>
      <c r="W369" s="243"/>
      <c r="X369" s="243"/>
      <c r="Y369" s="243"/>
      <c r="Z369" s="243"/>
      <c r="AA369" s="243"/>
      <c r="AB369" s="243"/>
      <c r="AC369" s="243"/>
      <c r="AD369" s="243"/>
      <c r="AE369" s="243"/>
    </row>
    <row r="370">
      <c r="K370" s="237"/>
      <c r="P370" s="242"/>
      <c r="Q370" s="207"/>
      <c r="U370" s="243"/>
      <c r="V370" s="243"/>
      <c r="W370" s="243"/>
      <c r="X370" s="243"/>
      <c r="Y370" s="243"/>
      <c r="Z370" s="243"/>
      <c r="AA370" s="243"/>
      <c r="AB370" s="243"/>
      <c r="AC370" s="243"/>
      <c r="AD370" s="243"/>
      <c r="AE370" s="243"/>
    </row>
    <row r="371">
      <c r="K371" s="237"/>
      <c r="P371" s="242"/>
      <c r="Q371" s="207"/>
      <c r="U371" s="243"/>
      <c r="V371" s="243"/>
      <c r="W371" s="243"/>
      <c r="X371" s="243"/>
      <c r="Y371" s="243"/>
      <c r="Z371" s="243"/>
      <c r="AA371" s="243"/>
      <c r="AB371" s="243"/>
      <c r="AC371" s="243"/>
      <c r="AD371" s="243"/>
      <c r="AE371" s="243"/>
    </row>
    <row r="372">
      <c r="K372" s="237"/>
      <c r="P372" s="242"/>
      <c r="Q372" s="207"/>
      <c r="U372" s="243"/>
      <c r="V372" s="243"/>
      <c r="W372" s="243"/>
      <c r="X372" s="243"/>
      <c r="Y372" s="243"/>
      <c r="Z372" s="243"/>
      <c r="AA372" s="243"/>
      <c r="AB372" s="243"/>
      <c r="AC372" s="243"/>
      <c r="AD372" s="243"/>
      <c r="AE372" s="243"/>
    </row>
    <row r="373">
      <c r="K373" s="237"/>
      <c r="P373" s="242"/>
      <c r="Q373" s="207"/>
      <c r="U373" s="243"/>
      <c r="V373" s="243"/>
      <c r="W373" s="243"/>
      <c r="X373" s="243"/>
      <c r="Y373" s="243"/>
      <c r="Z373" s="243"/>
      <c r="AA373" s="243"/>
      <c r="AB373" s="243"/>
      <c r="AC373" s="243"/>
      <c r="AD373" s="243"/>
      <c r="AE373" s="243"/>
    </row>
    <row r="374">
      <c r="K374" s="237"/>
      <c r="P374" s="242"/>
      <c r="Q374" s="207"/>
      <c r="U374" s="243"/>
      <c r="V374" s="243"/>
      <c r="W374" s="243"/>
      <c r="X374" s="243"/>
      <c r="Y374" s="243"/>
      <c r="Z374" s="243"/>
      <c r="AA374" s="243"/>
      <c r="AB374" s="243"/>
      <c r="AC374" s="243"/>
      <c r="AD374" s="243"/>
      <c r="AE374" s="243"/>
    </row>
    <row r="375">
      <c r="K375" s="237"/>
      <c r="P375" s="242"/>
      <c r="Q375" s="207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</row>
    <row r="376">
      <c r="K376" s="237"/>
      <c r="P376" s="242"/>
      <c r="Q376" s="207"/>
      <c r="U376" s="243"/>
      <c r="V376" s="243"/>
      <c r="W376" s="243"/>
      <c r="X376" s="243"/>
      <c r="Y376" s="243"/>
      <c r="Z376" s="243"/>
      <c r="AA376" s="243"/>
      <c r="AB376" s="243"/>
      <c r="AC376" s="243"/>
      <c r="AD376" s="243"/>
      <c r="AE376" s="243"/>
    </row>
    <row r="377">
      <c r="K377" s="237"/>
      <c r="P377" s="242"/>
      <c r="Q377" s="207"/>
      <c r="U377" s="243"/>
      <c r="V377" s="243"/>
      <c r="W377" s="243"/>
      <c r="X377" s="243"/>
      <c r="Y377" s="243"/>
      <c r="Z377" s="243"/>
      <c r="AA377" s="243"/>
      <c r="AB377" s="243"/>
      <c r="AC377" s="243"/>
      <c r="AD377" s="243"/>
      <c r="AE377" s="243"/>
    </row>
    <row r="378">
      <c r="K378" s="237"/>
      <c r="P378" s="242"/>
      <c r="Q378" s="207"/>
      <c r="U378" s="243"/>
      <c r="V378" s="243"/>
      <c r="W378" s="243"/>
      <c r="X378" s="243"/>
      <c r="Y378" s="243"/>
      <c r="Z378" s="243"/>
      <c r="AA378" s="243"/>
      <c r="AB378" s="243"/>
      <c r="AC378" s="243"/>
      <c r="AD378" s="243"/>
      <c r="AE378" s="243"/>
    </row>
    <row r="379">
      <c r="K379" s="237"/>
      <c r="P379" s="242"/>
      <c r="Q379" s="207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</row>
    <row r="380">
      <c r="K380" s="237"/>
      <c r="P380" s="242"/>
      <c r="Q380" s="207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</row>
    <row r="381">
      <c r="K381" s="237"/>
      <c r="P381" s="242"/>
      <c r="Q381" s="207"/>
      <c r="U381" s="243"/>
      <c r="V381" s="243"/>
      <c r="W381" s="243"/>
      <c r="X381" s="243"/>
      <c r="Y381" s="243"/>
      <c r="Z381" s="243"/>
      <c r="AA381" s="243"/>
      <c r="AB381" s="243"/>
      <c r="AC381" s="243"/>
      <c r="AD381" s="243"/>
      <c r="AE381" s="243"/>
    </row>
    <row r="382">
      <c r="K382" s="237"/>
      <c r="P382" s="242"/>
      <c r="Q382" s="207"/>
      <c r="U382" s="243"/>
      <c r="V382" s="243"/>
      <c r="W382" s="243"/>
      <c r="X382" s="243"/>
      <c r="Y382" s="243"/>
      <c r="Z382" s="243"/>
      <c r="AA382" s="243"/>
      <c r="AB382" s="243"/>
      <c r="AC382" s="243"/>
      <c r="AD382" s="243"/>
      <c r="AE382" s="243"/>
    </row>
    <row r="383">
      <c r="K383" s="237"/>
      <c r="P383" s="242"/>
      <c r="Q383" s="207"/>
      <c r="U383" s="243"/>
      <c r="V383" s="243"/>
      <c r="W383" s="243"/>
      <c r="X383" s="243"/>
      <c r="Y383" s="243"/>
      <c r="Z383" s="243"/>
      <c r="AA383" s="243"/>
      <c r="AB383" s="243"/>
      <c r="AC383" s="243"/>
      <c r="AD383" s="243"/>
      <c r="AE383" s="243"/>
    </row>
    <row r="384">
      <c r="K384" s="237"/>
      <c r="P384" s="242"/>
      <c r="Q384" s="207"/>
      <c r="U384" s="243"/>
      <c r="V384" s="243"/>
      <c r="W384" s="243"/>
      <c r="X384" s="243"/>
      <c r="Y384" s="243"/>
      <c r="Z384" s="243"/>
      <c r="AA384" s="243"/>
      <c r="AB384" s="243"/>
      <c r="AC384" s="243"/>
      <c r="AD384" s="243"/>
      <c r="AE384" s="243"/>
    </row>
    <row r="385">
      <c r="K385" s="237"/>
      <c r="P385" s="242"/>
      <c r="Q385" s="207"/>
      <c r="U385" s="243"/>
      <c r="V385" s="243"/>
      <c r="W385" s="243"/>
      <c r="X385" s="243"/>
      <c r="Y385" s="243"/>
      <c r="Z385" s="243"/>
      <c r="AA385" s="243"/>
      <c r="AB385" s="243"/>
      <c r="AC385" s="243"/>
      <c r="AD385" s="243"/>
      <c r="AE385" s="243"/>
    </row>
    <row r="386">
      <c r="K386" s="237"/>
      <c r="P386" s="242"/>
      <c r="Q386" s="207"/>
      <c r="U386" s="243"/>
      <c r="V386" s="243"/>
      <c r="W386" s="243"/>
      <c r="X386" s="243"/>
      <c r="Y386" s="243"/>
      <c r="Z386" s="243"/>
      <c r="AA386" s="243"/>
      <c r="AB386" s="243"/>
      <c r="AC386" s="243"/>
      <c r="AD386" s="243"/>
      <c r="AE386" s="243"/>
    </row>
    <row r="387">
      <c r="K387" s="237"/>
      <c r="P387" s="242"/>
      <c r="Q387" s="207"/>
      <c r="U387" s="243"/>
      <c r="V387" s="243"/>
      <c r="W387" s="243"/>
      <c r="X387" s="243"/>
      <c r="Y387" s="243"/>
      <c r="Z387" s="243"/>
      <c r="AA387" s="243"/>
      <c r="AB387" s="243"/>
      <c r="AC387" s="243"/>
      <c r="AD387" s="243"/>
      <c r="AE387" s="243"/>
    </row>
    <row r="388">
      <c r="K388" s="237"/>
      <c r="P388" s="242"/>
      <c r="Q388" s="207"/>
      <c r="U388" s="243"/>
      <c r="V388" s="243"/>
      <c r="W388" s="243"/>
      <c r="X388" s="243"/>
      <c r="Y388" s="243"/>
      <c r="Z388" s="243"/>
      <c r="AA388" s="243"/>
      <c r="AB388" s="243"/>
      <c r="AC388" s="243"/>
      <c r="AD388" s="243"/>
      <c r="AE388" s="243"/>
    </row>
    <row r="389">
      <c r="K389" s="237"/>
      <c r="P389" s="242"/>
      <c r="Q389" s="207"/>
      <c r="U389" s="243"/>
      <c r="V389" s="243"/>
      <c r="W389" s="243"/>
      <c r="X389" s="243"/>
      <c r="Y389" s="243"/>
      <c r="Z389" s="243"/>
      <c r="AA389" s="243"/>
      <c r="AB389" s="243"/>
      <c r="AC389" s="243"/>
      <c r="AD389" s="243"/>
      <c r="AE389" s="243"/>
    </row>
    <row r="390">
      <c r="K390" s="237"/>
      <c r="P390" s="242"/>
      <c r="Q390" s="207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</row>
    <row r="391">
      <c r="K391" s="237"/>
      <c r="P391" s="242"/>
      <c r="Q391" s="207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</row>
    <row r="392">
      <c r="K392" s="237"/>
      <c r="P392" s="242"/>
      <c r="Q392" s="207"/>
      <c r="U392" s="243"/>
      <c r="V392" s="243"/>
      <c r="W392" s="243"/>
      <c r="X392" s="243"/>
      <c r="Y392" s="243"/>
      <c r="Z392" s="243"/>
      <c r="AA392" s="243"/>
      <c r="AB392" s="243"/>
      <c r="AC392" s="243"/>
      <c r="AD392" s="243"/>
      <c r="AE392" s="243"/>
    </row>
    <row r="393">
      <c r="K393" s="237"/>
      <c r="P393" s="242"/>
      <c r="Q393" s="207"/>
      <c r="U393" s="243"/>
      <c r="V393" s="243"/>
      <c r="W393" s="243"/>
      <c r="X393" s="243"/>
      <c r="Y393" s="243"/>
      <c r="Z393" s="243"/>
      <c r="AA393" s="243"/>
      <c r="AB393" s="243"/>
      <c r="AC393" s="243"/>
      <c r="AD393" s="243"/>
      <c r="AE393" s="243"/>
    </row>
    <row r="394">
      <c r="K394" s="237"/>
      <c r="P394" s="242"/>
      <c r="Q394" s="207"/>
      <c r="U394" s="243"/>
      <c r="V394" s="243"/>
      <c r="W394" s="243"/>
      <c r="X394" s="243"/>
      <c r="Y394" s="243"/>
      <c r="Z394" s="243"/>
      <c r="AA394" s="243"/>
      <c r="AB394" s="243"/>
      <c r="AC394" s="243"/>
      <c r="AD394" s="243"/>
      <c r="AE394" s="243"/>
    </row>
    <row r="395">
      <c r="K395" s="237"/>
      <c r="P395" s="242"/>
      <c r="Q395" s="207"/>
      <c r="U395" s="243"/>
      <c r="V395" s="243"/>
      <c r="W395" s="243"/>
      <c r="X395" s="243"/>
      <c r="Y395" s="243"/>
      <c r="Z395" s="243"/>
      <c r="AA395" s="243"/>
      <c r="AB395" s="243"/>
      <c r="AC395" s="243"/>
      <c r="AD395" s="243"/>
      <c r="AE395" s="243"/>
    </row>
    <row r="396">
      <c r="K396" s="237"/>
      <c r="P396" s="242"/>
      <c r="Q396" s="207"/>
      <c r="U396" s="243"/>
      <c r="V396" s="243"/>
      <c r="W396" s="243"/>
      <c r="X396" s="243"/>
      <c r="Y396" s="243"/>
      <c r="Z396" s="243"/>
      <c r="AA396" s="243"/>
      <c r="AB396" s="243"/>
      <c r="AC396" s="243"/>
      <c r="AD396" s="243"/>
      <c r="AE396" s="243"/>
    </row>
    <row r="397">
      <c r="K397" s="237"/>
      <c r="P397" s="242"/>
      <c r="Q397" s="207"/>
      <c r="U397" s="243"/>
      <c r="V397" s="243"/>
      <c r="W397" s="243"/>
      <c r="X397" s="243"/>
      <c r="Y397" s="243"/>
      <c r="Z397" s="243"/>
      <c r="AA397" s="243"/>
      <c r="AB397" s="243"/>
      <c r="AC397" s="243"/>
      <c r="AD397" s="243"/>
      <c r="AE397" s="243"/>
    </row>
    <row r="398">
      <c r="K398" s="237"/>
      <c r="P398" s="242"/>
      <c r="Q398" s="207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</row>
    <row r="399">
      <c r="K399" s="237"/>
      <c r="P399" s="242"/>
      <c r="Q399" s="207"/>
      <c r="U399" s="243"/>
      <c r="V399" s="243"/>
      <c r="W399" s="243"/>
      <c r="X399" s="243"/>
      <c r="Y399" s="243"/>
      <c r="Z399" s="243"/>
      <c r="AA399" s="243"/>
      <c r="AB399" s="243"/>
      <c r="AC399" s="243"/>
      <c r="AD399" s="243"/>
      <c r="AE399" s="243"/>
    </row>
    <row r="400">
      <c r="K400" s="237"/>
      <c r="P400" s="242"/>
      <c r="Q400" s="207"/>
      <c r="U400" s="243"/>
      <c r="V400" s="243"/>
      <c r="W400" s="243"/>
      <c r="X400" s="243"/>
      <c r="Y400" s="243"/>
      <c r="Z400" s="243"/>
      <c r="AA400" s="243"/>
      <c r="AB400" s="243"/>
      <c r="AC400" s="243"/>
      <c r="AD400" s="243"/>
      <c r="AE400" s="243"/>
    </row>
    <row r="401">
      <c r="K401" s="237"/>
      <c r="P401" s="242"/>
      <c r="Q401" s="207"/>
      <c r="U401" s="243"/>
      <c r="V401" s="243"/>
      <c r="W401" s="243"/>
      <c r="X401" s="243"/>
      <c r="Y401" s="243"/>
      <c r="Z401" s="243"/>
      <c r="AA401" s="243"/>
      <c r="AB401" s="243"/>
      <c r="AC401" s="243"/>
      <c r="AD401" s="243"/>
      <c r="AE401" s="243"/>
    </row>
    <row r="402">
      <c r="K402" s="237"/>
      <c r="P402" s="242"/>
      <c r="Q402" s="207"/>
      <c r="U402" s="243"/>
      <c r="V402" s="243"/>
      <c r="W402" s="243"/>
      <c r="X402" s="243"/>
      <c r="Y402" s="243"/>
      <c r="Z402" s="243"/>
      <c r="AA402" s="243"/>
      <c r="AB402" s="243"/>
      <c r="AC402" s="243"/>
      <c r="AD402" s="243"/>
      <c r="AE402" s="243"/>
    </row>
    <row r="403">
      <c r="K403" s="237"/>
      <c r="P403" s="242"/>
      <c r="Q403" s="207"/>
      <c r="U403" s="243"/>
      <c r="V403" s="243"/>
      <c r="W403" s="243"/>
      <c r="X403" s="243"/>
      <c r="Y403" s="243"/>
      <c r="Z403" s="243"/>
      <c r="AA403" s="243"/>
      <c r="AB403" s="243"/>
      <c r="AC403" s="243"/>
      <c r="AD403" s="243"/>
      <c r="AE403" s="243"/>
    </row>
    <row r="404">
      <c r="K404" s="237"/>
      <c r="P404" s="242"/>
      <c r="Q404" s="207"/>
      <c r="U404" s="243"/>
      <c r="V404" s="243"/>
      <c r="W404" s="243"/>
      <c r="X404" s="243"/>
      <c r="Y404" s="243"/>
      <c r="Z404" s="243"/>
      <c r="AA404" s="243"/>
      <c r="AB404" s="243"/>
      <c r="AC404" s="243"/>
      <c r="AD404" s="243"/>
      <c r="AE404" s="243"/>
    </row>
    <row r="405">
      <c r="K405" s="237"/>
      <c r="P405" s="242"/>
      <c r="Q405" s="207"/>
      <c r="U405" s="243"/>
      <c r="V405" s="243"/>
      <c r="W405" s="243"/>
      <c r="X405" s="243"/>
      <c r="Y405" s="243"/>
      <c r="Z405" s="243"/>
      <c r="AA405" s="243"/>
      <c r="AB405" s="243"/>
      <c r="AC405" s="243"/>
      <c r="AD405" s="243"/>
      <c r="AE405" s="243"/>
    </row>
    <row r="406">
      <c r="K406" s="237"/>
      <c r="P406" s="242"/>
      <c r="Q406" s="207"/>
      <c r="U406" s="243"/>
      <c r="V406" s="243"/>
      <c r="W406" s="243"/>
      <c r="X406" s="243"/>
      <c r="Y406" s="243"/>
      <c r="Z406" s="243"/>
      <c r="AA406" s="243"/>
      <c r="AB406" s="243"/>
      <c r="AC406" s="243"/>
      <c r="AD406" s="243"/>
      <c r="AE406" s="243"/>
    </row>
    <row r="407">
      <c r="K407" s="237"/>
      <c r="P407" s="242"/>
      <c r="Q407" s="207"/>
      <c r="U407" s="243"/>
      <c r="V407" s="243"/>
      <c r="W407" s="243"/>
      <c r="X407" s="243"/>
      <c r="Y407" s="243"/>
      <c r="Z407" s="243"/>
      <c r="AA407" s="243"/>
      <c r="AB407" s="243"/>
      <c r="AC407" s="243"/>
      <c r="AD407" s="243"/>
      <c r="AE407" s="243"/>
    </row>
    <row r="408">
      <c r="K408" s="237"/>
      <c r="P408" s="242"/>
      <c r="Q408" s="207"/>
      <c r="U408" s="243"/>
      <c r="V408" s="243"/>
      <c r="W408" s="243"/>
      <c r="X408" s="243"/>
      <c r="Y408" s="243"/>
      <c r="Z408" s="243"/>
      <c r="AA408" s="243"/>
      <c r="AB408" s="243"/>
      <c r="AC408" s="243"/>
      <c r="AD408" s="243"/>
      <c r="AE408" s="243"/>
    </row>
    <row r="409">
      <c r="K409" s="237"/>
      <c r="P409" s="242"/>
      <c r="Q409" s="207"/>
      <c r="U409" s="243"/>
      <c r="V409" s="243"/>
      <c r="W409" s="243"/>
      <c r="X409" s="243"/>
      <c r="Y409" s="243"/>
      <c r="Z409" s="243"/>
      <c r="AA409" s="243"/>
      <c r="AB409" s="243"/>
      <c r="AC409" s="243"/>
      <c r="AD409" s="243"/>
      <c r="AE409" s="243"/>
    </row>
    <row r="410">
      <c r="K410" s="237"/>
      <c r="P410" s="242"/>
      <c r="Q410" s="207"/>
      <c r="U410" s="243"/>
      <c r="V410" s="243"/>
      <c r="W410" s="243"/>
      <c r="X410" s="243"/>
      <c r="Y410" s="243"/>
      <c r="Z410" s="243"/>
      <c r="AA410" s="243"/>
      <c r="AB410" s="243"/>
      <c r="AC410" s="243"/>
      <c r="AD410" s="243"/>
      <c r="AE410" s="243"/>
    </row>
    <row r="411">
      <c r="K411" s="237"/>
      <c r="P411" s="242"/>
      <c r="Q411" s="207"/>
      <c r="U411" s="243"/>
      <c r="V411" s="243"/>
      <c r="W411" s="243"/>
      <c r="X411" s="243"/>
      <c r="Y411" s="243"/>
      <c r="Z411" s="243"/>
      <c r="AA411" s="243"/>
      <c r="AB411" s="243"/>
      <c r="AC411" s="243"/>
      <c r="AD411" s="243"/>
      <c r="AE411" s="243"/>
    </row>
    <row r="412">
      <c r="K412" s="237"/>
      <c r="P412" s="242"/>
      <c r="Q412" s="207"/>
      <c r="U412" s="243"/>
      <c r="V412" s="243"/>
      <c r="W412" s="243"/>
      <c r="X412" s="243"/>
      <c r="Y412" s="243"/>
      <c r="Z412" s="243"/>
      <c r="AA412" s="243"/>
      <c r="AB412" s="243"/>
      <c r="AC412" s="243"/>
      <c r="AD412" s="243"/>
      <c r="AE412" s="243"/>
    </row>
    <row r="413">
      <c r="K413" s="237"/>
      <c r="P413" s="242"/>
      <c r="Q413" s="207"/>
      <c r="U413" s="243"/>
      <c r="V413" s="243"/>
      <c r="W413" s="243"/>
      <c r="X413" s="243"/>
      <c r="Y413" s="243"/>
      <c r="Z413" s="243"/>
      <c r="AA413" s="243"/>
      <c r="AB413" s="243"/>
      <c r="AC413" s="243"/>
      <c r="AD413" s="243"/>
      <c r="AE413" s="243"/>
    </row>
    <row r="414">
      <c r="K414" s="237"/>
      <c r="P414" s="242"/>
      <c r="Q414" s="207"/>
      <c r="U414" s="243"/>
      <c r="V414" s="243"/>
      <c r="W414" s="243"/>
      <c r="X414" s="243"/>
      <c r="Y414" s="243"/>
      <c r="Z414" s="243"/>
      <c r="AA414" s="243"/>
      <c r="AB414" s="243"/>
      <c r="AC414" s="243"/>
      <c r="AD414" s="243"/>
      <c r="AE414" s="243"/>
    </row>
    <row r="415">
      <c r="K415" s="237"/>
      <c r="P415" s="242"/>
      <c r="Q415" s="207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</row>
    <row r="416">
      <c r="K416" s="237"/>
      <c r="P416" s="242"/>
      <c r="Q416" s="207"/>
      <c r="U416" s="243"/>
      <c r="V416" s="243"/>
      <c r="W416" s="243"/>
      <c r="X416" s="243"/>
      <c r="Y416" s="243"/>
      <c r="Z416" s="243"/>
      <c r="AA416" s="243"/>
      <c r="AB416" s="243"/>
      <c r="AC416" s="243"/>
      <c r="AD416" s="243"/>
      <c r="AE416" s="243"/>
    </row>
    <row r="417">
      <c r="K417" s="237"/>
      <c r="P417" s="242"/>
      <c r="Q417" s="207"/>
      <c r="U417" s="243"/>
      <c r="V417" s="243"/>
      <c r="W417" s="243"/>
      <c r="X417" s="243"/>
      <c r="Y417" s="243"/>
      <c r="Z417" s="243"/>
      <c r="AA417" s="243"/>
      <c r="AB417" s="243"/>
      <c r="AC417" s="243"/>
      <c r="AD417" s="243"/>
      <c r="AE417" s="243"/>
    </row>
    <row r="418">
      <c r="K418" s="237"/>
      <c r="P418" s="242"/>
      <c r="Q418" s="207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</row>
    <row r="419">
      <c r="K419" s="237"/>
      <c r="P419" s="242"/>
      <c r="Q419" s="207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</row>
    <row r="420">
      <c r="K420" s="237"/>
      <c r="P420" s="242"/>
      <c r="Q420" s="207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</row>
    <row r="421">
      <c r="K421" s="237"/>
      <c r="P421" s="242"/>
      <c r="Q421" s="207"/>
      <c r="U421" s="243"/>
      <c r="V421" s="243"/>
      <c r="W421" s="243"/>
      <c r="X421" s="243"/>
      <c r="Y421" s="243"/>
      <c r="Z421" s="243"/>
      <c r="AA421" s="243"/>
      <c r="AB421" s="243"/>
      <c r="AC421" s="243"/>
      <c r="AD421" s="243"/>
      <c r="AE421" s="243"/>
    </row>
    <row r="422">
      <c r="K422" s="237"/>
      <c r="P422" s="242"/>
      <c r="Q422" s="207"/>
      <c r="U422" s="243"/>
      <c r="V422" s="243"/>
      <c r="W422" s="243"/>
      <c r="X422" s="243"/>
      <c r="Y422" s="243"/>
      <c r="Z422" s="243"/>
      <c r="AA422" s="243"/>
      <c r="AB422" s="243"/>
      <c r="AC422" s="243"/>
      <c r="AD422" s="243"/>
      <c r="AE422" s="243"/>
    </row>
    <row r="423">
      <c r="K423" s="237"/>
      <c r="P423" s="242"/>
      <c r="Q423" s="207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</row>
    <row r="424">
      <c r="K424" s="237"/>
      <c r="P424" s="242"/>
      <c r="Q424" s="207"/>
      <c r="U424" s="243"/>
      <c r="V424" s="243"/>
      <c r="W424" s="243"/>
      <c r="X424" s="243"/>
      <c r="Y424" s="243"/>
      <c r="Z424" s="243"/>
      <c r="AA424" s="243"/>
      <c r="AB424" s="243"/>
      <c r="AC424" s="243"/>
      <c r="AD424" s="243"/>
      <c r="AE424" s="243"/>
    </row>
    <row r="425">
      <c r="K425" s="237"/>
      <c r="P425" s="242"/>
      <c r="Q425" s="207"/>
      <c r="U425" s="243"/>
      <c r="V425" s="243"/>
      <c r="W425" s="243"/>
      <c r="X425" s="243"/>
      <c r="Y425" s="243"/>
      <c r="Z425" s="243"/>
      <c r="AA425" s="243"/>
      <c r="AB425" s="243"/>
      <c r="AC425" s="243"/>
      <c r="AD425" s="243"/>
      <c r="AE425" s="243"/>
    </row>
    <row r="426">
      <c r="K426" s="237"/>
      <c r="P426" s="242"/>
      <c r="Q426" s="207"/>
      <c r="U426" s="243"/>
      <c r="V426" s="243"/>
      <c r="W426" s="243"/>
      <c r="X426" s="243"/>
      <c r="Y426" s="243"/>
      <c r="Z426" s="243"/>
      <c r="AA426" s="243"/>
      <c r="AB426" s="243"/>
      <c r="AC426" s="243"/>
      <c r="AD426" s="243"/>
      <c r="AE426" s="243"/>
    </row>
    <row r="427">
      <c r="K427" s="237"/>
      <c r="P427" s="242"/>
      <c r="Q427" s="207"/>
      <c r="U427" s="243"/>
      <c r="V427" s="243"/>
      <c r="W427" s="243"/>
      <c r="X427" s="243"/>
      <c r="Y427" s="243"/>
      <c r="Z427" s="243"/>
      <c r="AA427" s="243"/>
      <c r="AB427" s="243"/>
      <c r="AC427" s="243"/>
      <c r="AD427" s="243"/>
      <c r="AE427" s="243"/>
    </row>
    <row r="428">
      <c r="K428" s="237"/>
      <c r="P428" s="242"/>
      <c r="Q428" s="207"/>
      <c r="U428" s="243"/>
      <c r="V428" s="243"/>
      <c r="W428" s="243"/>
      <c r="X428" s="243"/>
      <c r="Y428" s="243"/>
      <c r="Z428" s="243"/>
      <c r="AA428" s="243"/>
      <c r="AB428" s="243"/>
      <c r="AC428" s="243"/>
      <c r="AD428" s="243"/>
      <c r="AE428" s="243"/>
    </row>
    <row r="429">
      <c r="K429" s="237"/>
      <c r="P429" s="242"/>
      <c r="Q429" s="207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</row>
    <row r="430">
      <c r="K430" s="237"/>
      <c r="P430" s="242"/>
      <c r="Q430" s="207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</row>
    <row r="431">
      <c r="K431" s="237"/>
      <c r="P431" s="242"/>
      <c r="Q431" s="207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</row>
    <row r="432">
      <c r="K432" s="237"/>
      <c r="P432" s="242"/>
      <c r="Q432" s="207"/>
      <c r="U432" s="243"/>
      <c r="V432" s="243"/>
      <c r="W432" s="243"/>
      <c r="X432" s="243"/>
      <c r="Y432" s="243"/>
      <c r="Z432" s="243"/>
      <c r="AA432" s="243"/>
      <c r="AB432" s="243"/>
      <c r="AC432" s="243"/>
      <c r="AD432" s="243"/>
      <c r="AE432" s="243"/>
    </row>
    <row r="433">
      <c r="K433" s="237"/>
      <c r="P433" s="242"/>
      <c r="Q433" s="207"/>
      <c r="U433" s="243"/>
      <c r="V433" s="243"/>
      <c r="W433" s="243"/>
      <c r="X433" s="243"/>
      <c r="Y433" s="243"/>
      <c r="Z433" s="243"/>
      <c r="AA433" s="243"/>
      <c r="AB433" s="243"/>
      <c r="AC433" s="243"/>
      <c r="AD433" s="243"/>
      <c r="AE433" s="243"/>
    </row>
    <row r="434">
      <c r="K434" s="237"/>
      <c r="P434" s="242"/>
      <c r="Q434" s="207"/>
      <c r="U434" s="243"/>
      <c r="V434" s="243"/>
      <c r="W434" s="243"/>
      <c r="X434" s="243"/>
      <c r="Y434" s="243"/>
      <c r="Z434" s="243"/>
      <c r="AA434" s="243"/>
      <c r="AB434" s="243"/>
      <c r="AC434" s="243"/>
      <c r="AD434" s="243"/>
      <c r="AE434" s="243"/>
    </row>
    <row r="435">
      <c r="K435" s="237"/>
      <c r="P435" s="242"/>
      <c r="Q435" s="207"/>
      <c r="U435" s="243"/>
      <c r="V435" s="243"/>
      <c r="W435" s="243"/>
      <c r="X435" s="243"/>
      <c r="Y435" s="243"/>
      <c r="Z435" s="243"/>
      <c r="AA435" s="243"/>
      <c r="AB435" s="243"/>
      <c r="AC435" s="243"/>
      <c r="AD435" s="243"/>
      <c r="AE435" s="243"/>
    </row>
    <row r="436">
      <c r="K436" s="237"/>
      <c r="P436" s="242"/>
      <c r="Q436" s="207"/>
      <c r="U436" s="243"/>
      <c r="V436" s="243"/>
      <c r="W436" s="243"/>
      <c r="X436" s="243"/>
      <c r="Y436" s="243"/>
      <c r="Z436" s="243"/>
      <c r="AA436" s="243"/>
      <c r="AB436" s="243"/>
      <c r="AC436" s="243"/>
      <c r="AD436" s="243"/>
      <c r="AE436" s="243"/>
    </row>
    <row r="437">
      <c r="K437" s="237"/>
      <c r="P437" s="242"/>
      <c r="Q437" s="207"/>
      <c r="U437" s="243"/>
      <c r="V437" s="243"/>
      <c r="W437" s="243"/>
      <c r="X437" s="243"/>
      <c r="Y437" s="243"/>
      <c r="Z437" s="243"/>
      <c r="AA437" s="243"/>
      <c r="AB437" s="243"/>
      <c r="AC437" s="243"/>
      <c r="AD437" s="243"/>
      <c r="AE437" s="243"/>
    </row>
    <row r="438">
      <c r="K438" s="237"/>
      <c r="P438" s="242"/>
      <c r="Q438" s="207"/>
      <c r="U438" s="243"/>
      <c r="V438" s="243"/>
      <c r="W438" s="243"/>
      <c r="X438" s="243"/>
      <c r="Y438" s="243"/>
      <c r="Z438" s="243"/>
      <c r="AA438" s="243"/>
      <c r="AB438" s="243"/>
      <c r="AC438" s="243"/>
      <c r="AD438" s="243"/>
      <c r="AE438" s="243"/>
    </row>
    <row r="439">
      <c r="K439" s="237"/>
      <c r="P439" s="242"/>
      <c r="Q439" s="207"/>
      <c r="U439" s="243"/>
      <c r="V439" s="243"/>
      <c r="W439" s="243"/>
      <c r="X439" s="243"/>
      <c r="Y439" s="243"/>
      <c r="Z439" s="243"/>
      <c r="AA439" s="243"/>
      <c r="AB439" s="243"/>
      <c r="AC439" s="243"/>
      <c r="AD439" s="243"/>
      <c r="AE439" s="243"/>
    </row>
    <row r="440">
      <c r="K440" s="237"/>
      <c r="P440" s="242"/>
      <c r="Q440" s="207"/>
      <c r="U440" s="243"/>
      <c r="V440" s="243"/>
      <c r="W440" s="243"/>
      <c r="X440" s="243"/>
      <c r="Y440" s="243"/>
      <c r="Z440" s="243"/>
      <c r="AA440" s="243"/>
      <c r="AB440" s="243"/>
      <c r="AC440" s="243"/>
      <c r="AD440" s="243"/>
      <c r="AE440" s="243"/>
    </row>
    <row r="441">
      <c r="K441" s="237"/>
      <c r="P441" s="242"/>
      <c r="Q441" s="207"/>
      <c r="U441" s="243"/>
      <c r="V441" s="243"/>
      <c r="W441" s="243"/>
      <c r="X441" s="243"/>
      <c r="Y441" s="243"/>
      <c r="Z441" s="243"/>
      <c r="AA441" s="243"/>
      <c r="AB441" s="243"/>
      <c r="AC441" s="243"/>
      <c r="AD441" s="243"/>
      <c r="AE441" s="243"/>
    </row>
    <row r="442">
      <c r="K442" s="237"/>
      <c r="P442" s="242"/>
      <c r="Q442" s="207"/>
      <c r="U442" s="243"/>
      <c r="V442" s="243"/>
      <c r="W442" s="243"/>
      <c r="X442" s="243"/>
      <c r="Y442" s="243"/>
      <c r="Z442" s="243"/>
      <c r="AA442" s="243"/>
      <c r="AB442" s="243"/>
      <c r="AC442" s="243"/>
      <c r="AD442" s="243"/>
      <c r="AE442" s="243"/>
    </row>
    <row r="443">
      <c r="K443" s="237"/>
      <c r="P443" s="242"/>
      <c r="Q443" s="207"/>
      <c r="U443" s="243"/>
      <c r="V443" s="243"/>
      <c r="W443" s="243"/>
      <c r="X443" s="243"/>
      <c r="Y443" s="243"/>
      <c r="Z443" s="243"/>
      <c r="AA443" s="243"/>
      <c r="AB443" s="243"/>
      <c r="AC443" s="243"/>
      <c r="AD443" s="243"/>
      <c r="AE443" s="243"/>
    </row>
    <row r="444">
      <c r="K444" s="237"/>
      <c r="P444" s="242"/>
      <c r="Q444" s="207"/>
      <c r="U444" s="243"/>
      <c r="V444" s="243"/>
      <c r="W444" s="243"/>
      <c r="X444" s="243"/>
      <c r="Y444" s="243"/>
      <c r="Z444" s="243"/>
      <c r="AA444" s="243"/>
      <c r="AB444" s="243"/>
      <c r="AC444" s="243"/>
      <c r="AD444" s="243"/>
      <c r="AE444" s="243"/>
    </row>
    <row r="445">
      <c r="K445" s="237"/>
      <c r="P445" s="242"/>
      <c r="Q445" s="207"/>
      <c r="U445" s="243"/>
      <c r="V445" s="243"/>
      <c r="W445" s="243"/>
      <c r="X445" s="243"/>
      <c r="Y445" s="243"/>
      <c r="Z445" s="243"/>
      <c r="AA445" s="243"/>
      <c r="AB445" s="243"/>
      <c r="AC445" s="243"/>
      <c r="AD445" s="243"/>
      <c r="AE445" s="243"/>
    </row>
    <row r="446">
      <c r="K446" s="237"/>
      <c r="P446" s="242"/>
      <c r="Q446" s="207"/>
      <c r="U446" s="243"/>
      <c r="V446" s="243"/>
      <c r="W446" s="243"/>
      <c r="X446" s="243"/>
      <c r="Y446" s="243"/>
      <c r="Z446" s="243"/>
      <c r="AA446" s="243"/>
      <c r="AB446" s="243"/>
      <c r="AC446" s="243"/>
      <c r="AD446" s="243"/>
      <c r="AE446" s="243"/>
    </row>
    <row r="447">
      <c r="K447" s="237"/>
      <c r="P447" s="242"/>
      <c r="Q447" s="207"/>
      <c r="U447" s="243"/>
      <c r="V447" s="243"/>
      <c r="W447" s="243"/>
      <c r="X447" s="243"/>
      <c r="Y447" s="243"/>
      <c r="Z447" s="243"/>
      <c r="AA447" s="243"/>
      <c r="AB447" s="243"/>
      <c r="AC447" s="243"/>
      <c r="AD447" s="243"/>
      <c r="AE447" s="243"/>
    </row>
    <row r="448">
      <c r="K448" s="237"/>
      <c r="P448" s="242"/>
      <c r="Q448" s="207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</row>
    <row r="449">
      <c r="K449" s="237"/>
      <c r="P449" s="242"/>
      <c r="Q449" s="207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</row>
    <row r="450">
      <c r="K450" s="237"/>
      <c r="P450" s="242"/>
      <c r="Q450" s="207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</row>
    <row r="451">
      <c r="K451" s="237"/>
      <c r="P451" s="242"/>
      <c r="Q451" s="207"/>
      <c r="U451" s="243"/>
      <c r="V451" s="243"/>
      <c r="W451" s="243"/>
      <c r="X451" s="243"/>
      <c r="Y451" s="243"/>
      <c r="Z451" s="243"/>
      <c r="AA451" s="243"/>
      <c r="AB451" s="243"/>
      <c r="AC451" s="243"/>
      <c r="AD451" s="243"/>
      <c r="AE451" s="243"/>
    </row>
    <row r="452">
      <c r="K452" s="237"/>
      <c r="P452" s="242"/>
      <c r="Q452" s="207"/>
      <c r="U452" s="243"/>
      <c r="V452" s="243"/>
      <c r="W452" s="243"/>
      <c r="X452" s="243"/>
      <c r="Y452" s="243"/>
      <c r="Z452" s="243"/>
      <c r="AA452" s="243"/>
      <c r="AB452" s="243"/>
      <c r="AC452" s="243"/>
      <c r="AD452" s="243"/>
      <c r="AE452" s="243"/>
    </row>
    <row r="453">
      <c r="K453" s="237"/>
      <c r="P453" s="242"/>
      <c r="Q453" s="207"/>
      <c r="U453" s="243"/>
      <c r="V453" s="243"/>
      <c r="W453" s="243"/>
      <c r="X453" s="243"/>
      <c r="Y453" s="243"/>
      <c r="Z453" s="243"/>
      <c r="AA453" s="243"/>
      <c r="AB453" s="243"/>
      <c r="AC453" s="243"/>
      <c r="AD453" s="243"/>
      <c r="AE453" s="243"/>
    </row>
    <row r="454">
      <c r="K454" s="237"/>
      <c r="P454" s="242"/>
      <c r="Q454" s="207"/>
      <c r="U454" s="243"/>
      <c r="V454" s="243"/>
      <c r="W454" s="243"/>
      <c r="X454" s="243"/>
      <c r="Y454" s="243"/>
      <c r="Z454" s="243"/>
      <c r="AA454" s="243"/>
      <c r="AB454" s="243"/>
      <c r="AC454" s="243"/>
      <c r="AD454" s="243"/>
      <c r="AE454" s="243"/>
    </row>
    <row r="455">
      <c r="K455" s="237"/>
      <c r="P455" s="242"/>
      <c r="Q455" s="207"/>
      <c r="U455" s="243"/>
      <c r="V455" s="243"/>
      <c r="W455" s="243"/>
      <c r="X455" s="243"/>
      <c r="Y455" s="243"/>
      <c r="Z455" s="243"/>
      <c r="AA455" s="243"/>
      <c r="AB455" s="243"/>
      <c r="AC455" s="243"/>
      <c r="AD455" s="243"/>
      <c r="AE455" s="243"/>
    </row>
    <row r="456">
      <c r="K456" s="237"/>
      <c r="P456" s="242"/>
      <c r="Q456" s="207"/>
      <c r="U456" s="243"/>
      <c r="V456" s="243"/>
      <c r="W456" s="243"/>
      <c r="X456" s="243"/>
      <c r="Y456" s="243"/>
      <c r="Z456" s="243"/>
      <c r="AA456" s="243"/>
      <c r="AB456" s="243"/>
      <c r="AC456" s="243"/>
      <c r="AD456" s="243"/>
      <c r="AE456" s="243"/>
    </row>
    <row r="457">
      <c r="K457" s="237"/>
      <c r="P457" s="242"/>
      <c r="Q457" s="207"/>
      <c r="U457" s="243"/>
      <c r="V457" s="243"/>
      <c r="W457" s="243"/>
      <c r="X457" s="243"/>
      <c r="Y457" s="243"/>
      <c r="Z457" s="243"/>
      <c r="AA457" s="243"/>
      <c r="AB457" s="243"/>
      <c r="AC457" s="243"/>
      <c r="AD457" s="243"/>
      <c r="AE457" s="243"/>
    </row>
    <row r="458">
      <c r="K458" s="237"/>
      <c r="P458" s="242"/>
      <c r="Q458" s="207"/>
      <c r="U458" s="243"/>
      <c r="V458" s="243"/>
      <c r="W458" s="243"/>
      <c r="X458" s="243"/>
      <c r="Y458" s="243"/>
      <c r="Z458" s="243"/>
      <c r="AA458" s="243"/>
      <c r="AB458" s="243"/>
      <c r="AC458" s="243"/>
      <c r="AD458" s="243"/>
      <c r="AE458" s="243"/>
    </row>
    <row r="459">
      <c r="K459" s="237"/>
      <c r="P459" s="242"/>
      <c r="Q459" s="207"/>
      <c r="U459" s="243"/>
      <c r="V459" s="243"/>
      <c r="W459" s="243"/>
      <c r="X459" s="243"/>
      <c r="Y459" s="243"/>
      <c r="Z459" s="243"/>
      <c r="AA459" s="243"/>
      <c r="AB459" s="243"/>
      <c r="AC459" s="243"/>
      <c r="AD459" s="243"/>
      <c r="AE459" s="243"/>
    </row>
    <row r="460">
      <c r="K460" s="237"/>
      <c r="P460" s="242"/>
      <c r="Q460" s="207"/>
      <c r="U460" s="243"/>
      <c r="V460" s="243"/>
      <c r="W460" s="243"/>
      <c r="X460" s="243"/>
      <c r="Y460" s="243"/>
      <c r="Z460" s="243"/>
      <c r="AA460" s="243"/>
      <c r="AB460" s="243"/>
      <c r="AC460" s="243"/>
      <c r="AD460" s="243"/>
      <c r="AE460" s="243"/>
    </row>
    <row r="461">
      <c r="K461" s="237"/>
      <c r="P461" s="242"/>
      <c r="Q461" s="207"/>
      <c r="U461" s="243"/>
      <c r="V461" s="243"/>
      <c r="W461" s="243"/>
      <c r="X461" s="243"/>
      <c r="Y461" s="243"/>
      <c r="Z461" s="243"/>
      <c r="AA461" s="243"/>
      <c r="AB461" s="243"/>
      <c r="AC461" s="243"/>
      <c r="AD461" s="243"/>
      <c r="AE461" s="243"/>
    </row>
    <row r="462">
      <c r="K462" s="237"/>
      <c r="P462" s="242"/>
      <c r="Q462" s="207"/>
      <c r="U462" s="243"/>
      <c r="V462" s="243"/>
      <c r="W462" s="243"/>
      <c r="X462" s="243"/>
      <c r="Y462" s="243"/>
      <c r="Z462" s="243"/>
      <c r="AA462" s="243"/>
      <c r="AB462" s="243"/>
      <c r="AC462" s="243"/>
      <c r="AD462" s="243"/>
      <c r="AE462" s="243"/>
    </row>
    <row r="463">
      <c r="K463" s="237"/>
      <c r="P463" s="242"/>
      <c r="Q463" s="207"/>
      <c r="U463" s="243"/>
      <c r="V463" s="243"/>
      <c r="W463" s="243"/>
      <c r="X463" s="243"/>
      <c r="Y463" s="243"/>
      <c r="Z463" s="243"/>
      <c r="AA463" s="243"/>
      <c r="AB463" s="243"/>
      <c r="AC463" s="243"/>
      <c r="AD463" s="243"/>
      <c r="AE463" s="243"/>
    </row>
    <row r="464">
      <c r="K464" s="237"/>
      <c r="P464" s="242"/>
      <c r="Q464" s="207"/>
      <c r="U464" s="243"/>
      <c r="V464" s="243"/>
      <c r="W464" s="243"/>
      <c r="X464" s="243"/>
      <c r="Y464" s="243"/>
      <c r="Z464" s="243"/>
      <c r="AA464" s="243"/>
      <c r="AB464" s="243"/>
      <c r="AC464" s="243"/>
      <c r="AD464" s="243"/>
      <c r="AE464" s="243"/>
    </row>
    <row r="465">
      <c r="K465" s="237"/>
      <c r="P465" s="242"/>
      <c r="Q465" s="207"/>
      <c r="U465" s="243"/>
      <c r="V465" s="243"/>
      <c r="W465" s="243"/>
      <c r="X465" s="243"/>
      <c r="Y465" s="243"/>
      <c r="Z465" s="243"/>
      <c r="AA465" s="243"/>
      <c r="AB465" s="243"/>
      <c r="AC465" s="243"/>
      <c r="AD465" s="243"/>
      <c r="AE465" s="243"/>
    </row>
    <row r="466">
      <c r="K466" s="237"/>
      <c r="P466" s="242"/>
      <c r="Q466" s="207"/>
      <c r="U466" s="243"/>
      <c r="V466" s="243"/>
      <c r="W466" s="243"/>
      <c r="X466" s="243"/>
      <c r="Y466" s="243"/>
      <c r="Z466" s="243"/>
      <c r="AA466" s="243"/>
      <c r="AB466" s="243"/>
      <c r="AC466" s="243"/>
      <c r="AD466" s="243"/>
      <c r="AE466" s="243"/>
    </row>
    <row r="467">
      <c r="K467" s="237"/>
      <c r="P467" s="242"/>
      <c r="Q467" s="207"/>
      <c r="U467" s="243"/>
      <c r="V467" s="243"/>
      <c r="W467" s="243"/>
      <c r="X467" s="243"/>
      <c r="Y467" s="243"/>
      <c r="Z467" s="243"/>
      <c r="AA467" s="243"/>
      <c r="AB467" s="243"/>
      <c r="AC467" s="243"/>
      <c r="AD467" s="243"/>
      <c r="AE467" s="243"/>
    </row>
    <row r="468">
      <c r="K468" s="237"/>
      <c r="P468" s="242"/>
      <c r="Q468" s="207"/>
      <c r="U468" s="243"/>
      <c r="V468" s="243"/>
      <c r="W468" s="243"/>
      <c r="X468" s="243"/>
      <c r="Y468" s="243"/>
      <c r="Z468" s="243"/>
      <c r="AA468" s="243"/>
      <c r="AB468" s="243"/>
      <c r="AC468" s="243"/>
      <c r="AD468" s="243"/>
      <c r="AE468" s="243"/>
    </row>
    <row r="469">
      <c r="K469" s="237"/>
      <c r="P469" s="242"/>
      <c r="Q469" s="207"/>
      <c r="U469" s="243"/>
      <c r="V469" s="243"/>
      <c r="W469" s="243"/>
      <c r="X469" s="243"/>
      <c r="Y469" s="243"/>
      <c r="Z469" s="243"/>
      <c r="AA469" s="243"/>
      <c r="AB469" s="243"/>
      <c r="AC469" s="243"/>
      <c r="AD469" s="243"/>
      <c r="AE469" s="243"/>
    </row>
    <row r="470">
      <c r="K470" s="237"/>
      <c r="P470" s="242"/>
      <c r="Q470" s="207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</row>
    <row r="471">
      <c r="K471" s="237"/>
      <c r="P471" s="242"/>
      <c r="Q471" s="207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</row>
    <row r="472">
      <c r="K472" s="237"/>
      <c r="P472" s="242"/>
      <c r="Q472" s="207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</row>
    <row r="473">
      <c r="K473" s="237"/>
      <c r="P473" s="242"/>
      <c r="Q473" s="207"/>
      <c r="U473" s="243"/>
      <c r="V473" s="243"/>
      <c r="W473" s="243"/>
      <c r="X473" s="243"/>
      <c r="Y473" s="243"/>
      <c r="Z473" s="243"/>
      <c r="AA473" s="243"/>
      <c r="AB473" s="243"/>
      <c r="AC473" s="243"/>
      <c r="AD473" s="243"/>
      <c r="AE473" s="243"/>
    </row>
    <row r="474">
      <c r="K474" s="237"/>
      <c r="P474" s="242"/>
      <c r="Q474" s="207"/>
      <c r="U474" s="243"/>
      <c r="V474" s="243"/>
      <c r="W474" s="243"/>
      <c r="X474" s="243"/>
      <c r="Y474" s="243"/>
      <c r="Z474" s="243"/>
      <c r="AA474" s="243"/>
      <c r="AB474" s="243"/>
      <c r="AC474" s="243"/>
      <c r="AD474" s="243"/>
      <c r="AE474" s="243"/>
    </row>
    <row r="475">
      <c r="K475" s="237"/>
      <c r="P475" s="242"/>
      <c r="Q475" s="207"/>
      <c r="U475" s="243"/>
      <c r="V475" s="243"/>
      <c r="W475" s="243"/>
      <c r="X475" s="243"/>
      <c r="Y475" s="243"/>
      <c r="Z475" s="243"/>
      <c r="AA475" s="243"/>
      <c r="AB475" s="243"/>
      <c r="AC475" s="243"/>
      <c r="AD475" s="243"/>
      <c r="AE475" s="243"/>
    </row>
    <row r="476">
      <c r="K476" s="237"/>
      <c r="P476" s="242"/>
      <c r="Q476" s="207"/>
      <c r="U476" s="243"/>
      <c r="V476" s="243"/>
      <c r="W476" s="243"/>
      <c r="X476" s="243"/>
      <c r="Y476" s="243"/>
      <c r="Z476" s="243"/>
      <c r="AA476" s="243"/>
      <c r="AB476" s="243"/>
      <c r="AC476" s="243"/>
      <c r="AD476" s="243"/>
      <c r="AE476" s="243"/>
    </row>
    <row r="477">
      <c r="K477" s="237"/>
      <c r="P477" s="242"/>
      <c r="Q477" s="207"/>
      <c r="U477" s="243"/>
      <c r="V477" s="243"/>
      <c r="W477" s="243"/>
      <c r="X477" s="243"/>
      <c r="Y477" s="243"/>
      <c r="Z477" s="243"/>
      <c r="AA477" s="243"/>
      <c r="AB477" s="243"/>
      <c r="AC477" s="243"/>
      <c r="AD477" s="243"/>
      <c r="AE477" s="243"/>
    </row>
    <row r="478">
      <c r="K478" s="237"/>
      <c r="P478" s="242"/>
      <c r="Q478" s="207"/>
      <c r="U478" s="243"/>
      <c r="V478" s="243"/>
      <c r="W478" s="243"/>
      <c r="X478" s="243"/>
      <c r="Y478" s="243"/>
      <c r="Z478" s="243"/>
      <c r="AA478" s="243"/>
      <c r="AB478" s="243"/>
      <c r="AC478" s="243"/>
      <c r="AD478" s="243"/>
      <c r="AE478" s="243"/>
    </row>
    <row r="479">
      <c r="K479" s="237"/>
      <c r="P479" s="242"/>
      <c r="Q479" s="207"/>
      <c r="U479" s="243"/>
      <c r="V479" s="243"/>
      <c r="W479" s="243"/>
      <c r="X479" s="243"/>
      <c r="Y479" s="243"/>
      <c r="Z479" s="243"/>
      <c r="AA479" s="243"/>
      <c r="AB479" s="243"/>
      <c r="AC479" s="243"/>
      <c r="AD479" s="243"/>
      <c r="AE479" s="243"/>
    </row>
    <row r="480">
      <c r="K480" s="237"/>
      <c r="P480" s="242"/>
      <c r="Q480" s="207"/>
      <c r="U480" s="243"/>
      <c r="V480" s="243"/>
      <c r="W480" s="243"/>
      <c r="X480" s="243"/>
      <c r="Y480" s="243"/>
      <c r="Z480" s="243"/>
      <c r="AA480" s="243"/>
      <c r="AB480" s="243"/>
      <c r="AC480" s="243"/>
      <c r="AD480" s="243"/>
      <c r="AE480" s="243"/>
    </row>
    <row r="481">
      <c r="K481" s="237"/>
      <c r="P481" s="242"/>
      <c r="Q481" s="207"/>
      <c r="U481" s="243"/>
      <c r="V481" s="243"/>
      <c r="W481" s="243"/>
      <c r="X481" s="243"/>
      <c r="Y481" s="243"/>
      <c r="Z481" s="243"/>
      <c r="AA481" s="243"/>
      <c r="AB481" s="243"/>
      <c r="AC481" s="243"/>
      <c r="AD481" s="243"/>
      <c r="AE481" s="243"/>
    </row>
    <row r="482">
      <c r="K482" s="237"/>
      <c r="P482" s="242"/>
      <c r="Q482" s="207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</row>
    <row r="483">
      <c r="K483" s="237"/>
      <c r="P483" s="242"/>
      <c r="Q483" s="207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</row>
    <row r="484">
      <c r="K484" s="237"/>
      <c r="P484" s="242"/>
      <c r="Q484" s="207"/>
      <c r="U484" s="243"/>
      <c r="V484" s="243"/>
      <c r="W484" s="243"/>
      <c r="X484" s="243"/>
      <c r="Y484" s="243"/>
      <c r="Z484" s="243"/>
      <c r="AA484" s="243"/>
      <c r="AB484" s="243"/>
      <c r="AC484" s="243"/>
      <c r="AD484" s="243"/>
      <c r="AE484" s="243"/>
    </row>
    <row r="485">
      <c r="K485" s="237"/>
      <c r="P485" s="242"/>
      <c r="Q485" s="207"/>
      <c r="U485" s="243"/>
      <c r="V485" s="243"/>
      <c r="W485" s="243"/>
      <c r="X485" s="243"/>
      <c r="Y485" s="243"/>
      <c r="Z485" s="243"/>
      <c r="AA485" s="243"/>
      <c r="AB485" s="243"/>
      <c r="AC485" s="243"/>
      <c r="AD485" s="243"/>
      <c r="AE485" s="243"/>
    </row>
    <row r="486">
      <c r="K486" s="237"/>
      <c r="P486" s="242"/>
      <c r="Q486" s="207"/>
      <c r="U486" s="243"/>
      <c r="V486" s="243"/>
      <c r="W486" s="243"/>
      <c r="X486" s="243"/>
      <c r="Y486" s="243"/>
      <c r="Z486" s="243"/>
      <c r="AA486" s="243"/>
      <c r="AB486" s="243"/>
      <c r="AC486" s="243"/>
      <c r="AD486" s="243"/>
      <c r="AE486" s="243"/>
    </row>
    <row r="487">
      <c r="K487" s="237"/>
      <c r="P487" s="242"/>
      <c r="Q487" s="207"/>
      <c r="U487" s="243"/>
      <c r="V487" s="243"/>
      <c r="W487" s="243"/>
      <c r="X487" s="243"/>
      <c r="Y487" s="243"/>
      <c r="Z487" s="243"/>
      <c r="AA487" s="243"/>
      <c r="AB487" s="243"/>
      <c r="AC487" s="243"/>
      <c r="AD487" s="243"/>
      <c r="AE487" s="243"/>
    </row>
    <row r="488">
      <c r="K488" s="237"/>
      <c r="P488" s="242"/>
      <c r="Q488" s="207"/>
      <c r="U488" s="243"/>
      <c r="V488" s="243"/>
      <c r="W488" s="243"/>
      <c r="X488" s="243"/>
      <c r="Y488" s="243"/>
      <c r="Z488" s="243"/>
      <c r="AA488" s="243"/>
      <c r="AB488" s="243"/>
      <c r="AC488" s="243"/>
      <c r="AD488" s="243"/>
      <c r="AE488" s="243"/>
    </row>
    <row r="489">
      <c r="K489" s="237"/>
      <c r="P489" s="242"/>
      <c r="Q489" s="207"/>
      <c r="U489" s="243"/>
      <c r="V489" s="243"/>
      <c r="W489" s="243"/>
      <c r="X489" s="243"/>
      <c r="Y489" s="243"/>
      <c r="Z489" s="243"/>
      <c r="AA489" s="243"/>
      <c r="AB489" s="243"/>
      <c r="AC489" s="243"/>
      <c r="AD489" s="243"/>
      <c r="AE489" s="243"/>
    </row>
    <row r="490">
      <c r="K490" s="237"/>
      <c r="P490" s="242"/>
      <c r="Q490" s="207"/>
      <c r="U490" s="243"/>
      <c r="V490" s="243"/>
      <c r="W490" s="243"/>
      <c r="X490" s="243"/>
      <c r="Y490" s="243"/>
      <c r="Z490" s="243"/>
      <c r="AA490" s="243"/>
      <c r="AB490" s="243"/>
      <c r="AC490" s="243"/>
      <c r="AD490" s="243"/>
      <c r="AE490" s="243"/>
    </row>
    <row r="491">
      <c r="K491" s="237"/>
      <c r="P491" s="242"/>
      <c r="Q491" s="207"/>
      <c r="U491" s="243"/>
      <c r="V491" s="243"/>
      <c r="W491" s="243"/>
      <c r="X491" s="243"/>
      <c r="Y491" s="243"/>
      <c r="Z491" s="243"/>
      <c r="AA491" s="243"/>
      <c r="AB491" s="243"/>
      <c r="AC491" s="243"/>
      <c r="AD491" s="243"/>
      <c r="AE491" s="243"/>
    </row>
    <row r="492">
      <c r="K492" s="237"/>
      <c r="P492" s="242"/>
      <c r="Q492" s="207"/>
      <c r="U492" s="243"/>
      <c r="V492" s="243"/>
      <c r="W492" s="243"/>
      <c r="X492" s="243"/>
      <c r="Y492" s="243"/>
      <c r="Z492" s="243"/>
      <c r="AA492" s="243"/>
      <c r="AB492" s="243"/>
      <c r="AC492" s="243"/>
      <c r="AD492" s="243"/>
      <c r="AE492" s="243"/>
    </row>
    <row r="493">
      <c r="K493" s="237"/>
      <c r="P493" s="242"/>
      <c r="Q493" s="207"/>
      <c r="U493" s="243"/>
      <c r="V493" s="243"/>
      <c r="W493" s="243"/>
      <c r="X493" s="243"/>
      <c r="Y493" s="243"/>
      <c r="Z493" s="243"/>
      <c r="AA493" s="243"/>
      <c r="AB493" s="243"/>
      <c r="AC493" s="243"/>
      <c r="AD493" s="243"/>
      <c r="AE493" s="243"/>
    </row>
    <row r="494">
      <c r="K494" s="237"/>
      <c r="P494" s="242"/>
      <c r="Q494" s="207"/>
      <c r="U494" s="243"/>
      <c r="V494" s="243"/>
      <c r="W494" s="243"/>
      <c r="X494" s="243"/>
      <c r="Y494" s="243"/>
      <c r="Z494" s="243"/>
      <c r="AA494" s="243"/>
      <c r="AB494" s="243"/>
      <c r="AC494" s="243"/>
      <c r="AD494" s="243"/>
      <c r="AE494" s="243"/>
    </row>
    <row r="495">
      <c r="K495" s="237"/>
      <c r="P495" s="242"/>
      <c r="Q495" s="207"/>
      <c r="U495" s="243"/>
      <c r="V495" s="243"/>
      <c r="W495" s="243"/>
      <c r="X495" s="243"/>
      <c r="Y495" s="243"/>
      <c r="Z495" s="243"/>
      <c r="AA495" s="243"/>
      <c r="AB495" s="243"/>
      <c r="AC495" s="243"/>
      <c r="AD495" s="243"/>
      <c r="AE495" s="243"/>
    </row>
    <row r="496">
      <c r="K496" s="237"/>
      <c r="P496" s="242"/>
      <c r="Q496" s="207"/>
      <c r="U496" s="243"/>
      <c r="V496" s="243"/>
      <c r="W496" s="243"/>
      <c r="X496" s="243"/>
      <c r="Y496" s="243"/>
      <c r="Z496" s="243"/>
      <c r="AA496" s="243"/>
      <c r="AB496" s="243"/>
      <c r="AC496" s="243"/>
      <c r="AD496" s="243"/>
      <c r="AE496" s="243"/>
    </row>
    <row r="497">
      <c r="K497" s="237"/>
      <c r="P497" s="242"/>
      <c r="Q497" s="207"/>
      <c r="U497" s="243"/>
      <c r="V497" s="243"/>
      <c r="W497" s="243"/>
      <c r="X497" s="243"/>
      <c r="Y497" s="243"/>
      <c r="Z497" s="243"/>
      <c r="AA497" s="243"/>
      <c r="AB497" s="243"/>
      <c r="AC497" s="243"/>
      <c r="AD497" s="243"/>
      <c r="AE497" s="243"/>
    </row>
    <row r="498">
      <c r="K498" s="237"/>
      <c r="P498" s="242"/>
      <c r="Q498" s="207"/>
      <c r="U498" s="243"/>
      <c r="V498" s="243"/>
      <c r="W498" s="243"/>
      <c r="X498" s="243"/>
      <c r="Y498" s="243"/>
      <c r="Z498" s="243"/>
      <c r="AA498" s="243"/>
      <c r="AB498" s="243"/>
      <c r="AC498" s="243"/>
      <c r="AD498" s="243"/>
      <c r="AE498" s="243"/>
    </row>
    <row r="499">
      <c r="K499" s="237"/>
      <c r="P499" s="242"/>
      <c r="Q499" s="207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</row>
    <row r="500">
      <c r="K500" s="237"/>
      <c r="P500" s="242"/>
      <c r="Q500" s="207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</row>
    <row r="501">
      <c r="K501" s="237"/>
      <c r="P501" s="242"/>
      <c r="Q501" s="207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</row>
    <row r="502">
      <c r="K502" s="237"/>
      <c r="P502" s="242"/>
      <c r="Q502" s="207"/>
      <c r="U502" s="243"/>
      <c r="V502" s="243"/>
      <c r="W502" s="243"/>
      <c r="X502" s="243"/>
      <c r="Y502" s="243"/>
      <c r="Z502" s="243"/>
      <c r="AA502" s="243"/>
      <c r="AB502" s="243"/>
      <c r="AC502" s="243"/>
      <c r="AD502" s="243"/>
      <c r="AE502" s="243"/>
    </row>
    <row r="503">
      <c r="K503" s="237"/>
      <c r="P503" s="242"/>
      <c r="Q503" s="207"/>
      <c r="U503" s="243"/>
      <c r="V503" s="243"/>
      <c r="W503" s="243"/>
      <c r="X503" s="243"/>
      <c r="Y503" s="243"/>
      <c r="Z503" s="243"/>
      <c r="AA503" s="243"/>
      <c r="AB503" s="243"/>
      <c r="AC503" s="243"/>
      <c r="AD503" s="243"/>
      <c r="AE503" s="243"/>
    </row>
    <row r="504">
      <c r="K504" s="237"/>
      <c r="P504" s="242"/>
      <c r="Q504" s="207"/>
      <c r="U504" s="243"/>
      <c r="V504" s="243"/>
      <c r="W504" s="243"/>
      <c r="X504" s="243"/>
      <c r="Y504" s="243"/>
      <c r="Z504" s="243"/>
      <c r="AA504" s="243"/>
      <c r="AB504" s="243"/>
      <c r="AC504" s="243"/>
      <c r="AD504" s="243"/>
      <c r="AE504" s="243"/>
    </row>
    <row r="505">
      <c r="K505" s="237"/>
      <c r="P505" s="242"/>
      <c r="Q505" s="207"/>
      <c r="U505" s="243"/>
      <c r="V505" s="243"/>
      <c r="W505" s="243"/>
      <c r="X505" s="243"/>
      <c r="Y505" s="243"/>
      <c r="Z505" s="243"/>
      <c r="AA505" s="243"/>
      <c r="AB505" s="243"/>
      <c r="AC505" s="243"/>
      <c r="AD505" s="243"/>
      <c r="AE505" s="243"/>
    </row>
    <row r="506">
      <c r="K506" s="237"/>
      <c r="P506" s="242"/>
      <c r="Q506" s="207"/>
      <c r="U506" s="243"/>
      <c r="V506" s="243"/>
      <c r="W506" s="243"/>
      <c r="X506" s="243"/>
      <c r="Y506" s="243"/>
      <c r="Z506" s="243"/>
      <c r="AA506" s="243"/>
      <c r="AB506" s="243"/>
      <c r="AC506" s="243"/>
      <c r="AD506" s="243"/>
      <c r="AE506" s="243"/>
    </row>
    <row r="507">
      <c r="K507" s="237"/>
      <c r="P507" s="242"/>
      <c r="Q507" s="207"/>
      <c r="U507" s="243"/>
      <c r="V507" s="243"/>
      <c r="W507" s="243"/>
      <c r="X507" s="243"/>
      <c r="Y507" s="243"/>
      <c r="Z507" s="243"/>
      <c r="AA507" s="243"/>
      <c r="AB507" s="243"/>
      <c r="AC507" s="243"/>
      <c r="AD507" s="243"/>
      <c r="AE507" s="243"/>
    </row>
    <row r="508">
      <c r="K508" s="237"/>
      <c r="P508" s="242"/>
      <c r="Q508" s="207"/>
      <c r="U508" s="243"/>
      <c r="V508" s="243"/>
      <c r="W508" s="243"/>
      <c r="X508" s="243"/>
      <c r="Y508" s="243"/>
      <c r="Z508" s="243"/>
      <c r="AA508" s="243"/>
      <c r="AB508" s="243"/>
      <c r="AC508" s="243"/>
      <c r="AD508" s="243"/>
      <c r="AE508" s="243"/>
    </row>
    <row r="509">
      <c r="K509" s="237"/>
      <c r="P509" s="242"/>
      <c r="Q509" s="207"/>
      <c r="U509" s="243"/>
      <c r="V509" s="243"/>
      <c r="W509" s="243"/>
      <c r="X509" s="243"/>
      <c r="Y509" s="243"/>
      <c r="Z509" s="243"/>
      <c r="AA509" s="243"/>
      <c r="AB509" s="243"/>
      <c r="AC509" s="243"/>
      <c r="AD509" s="243"/>
      <c r="AE509" s="243"/>
    </row>
    <row r="510">
      <c r="K510" s="237"/>
      <c r="P510" s="242"/>
      <c r="Q510" s="207"/>
      <c r="U510" s="243"/>
      <c r="V510" s="243"/>
      <c r="W510" s="243"/>
      <c r="X510" s="243"/>
      <c r="Y510" s="243"/>
      <c r="Z510" s="243"/>
      <c r="AA510" s="243"/>
      <c r="AB510" s="243"/>
      <c r="AC510" s="243"/>
      <c r="AD510" s="243"/>
      <c r="AE510" s="243"/>
    </row>
    <row r="511">
      <c r="K511" s="237"/>
      <c r="P511" s="242"/>
      <c r="Q511" s="207"/>
      <c r="U511" s="243"/>
      <c r="V511" s="243"/>
      <c r="W511" s="243"/>
      <c r="X511" s="243"/>
      <c r="Y511" s="243"/>
      <c r="Z511" s="243"/>
      <c r="AA511" s="243"/>
      <c r="AB511" s="243"/>
      <c r="AC511" s="243"/>
      <c r="AD511" s="243"/>
      <c r="AE511" s="243"/>
    </row>
    <row r="512">
      <c r="K512" s="237"/>
      <c r="P512" s="242"/>
      <c r="Q512" s="207"/>
      <c r="U512" s="243"/>
      <c r="V512" s="243"/>
      <c r="W512" s="243"/>
      <c r="X512" s="243"/>
      <c r="Y512" s="243"/>
      <c r="Z512" s="243"/>
      <c r="AA512" s="243"/>
      <c r="AB512" s="243"/>
      <c r="AC512" s="243"/>
      <c r="AD512" s="243"/>
      <c r="AE512" s="243"/>
    </row>
    <row r="513">
      <c r="K513" s="237"/>
      <c r="P513" s="242"/>
      <c r="Q513" s="207"/>
      <c r="U513" s="243"/>
      <c r="V513" s="243"/>
      <c r="W513" s="243"/>
      <c r="X513" s="243"/>
      <c r="Y513" s="243"/>
      <c r="Z513" s="243"/>
      <c r="AA513" s="243"/>
      <c r="AB513" s="243"/>
      <c r="AC513" s="243"/>
      <c r="AD513" s="243"/>
      <c r="AE513" s="243"/>
    </row>
    <row r="514">
      <c r="K514" s="237"/>
      <c r="P514" s="242"/>
      <c r="Q514" s="207"/>
      <c r="U514" s="243"/>
      <c r="V514" s="243"/>
      <c r="W514" s="243"/>
      <c r="X514" s="243"/>
      <c r="Y514" s="243"/>
      <c r="Z514" s="243"/>
      <c r="AA514" s="243"/>
      <c r="AB514" s="243"/>
      <c r="AC514" s="243"/>
      <c r="AD514" s="243"/>
      <c r="AE514" s="243"/>
    </row>
    <row r="515">
      <c r="K515" s="237"/>
      <c r="P515" s="242"/>
      <c r="Q515" s="207"/>
      <c r="U515" s="243"/>
      <c r="V515" s="243"/>
      <c r="W515" s="243"/>
      <c r="X515" s="243"/>
      <c r="Y515" s="243"/>
      <c r="Z515" s="243"/>
      <c r="AA515" s="243"/>
      <c r="AB515" s="243"/>
      <c r="AC515" s="243"/>
      <c r="AD515" s="243"/>
      <c r="AE515" s="243"/>
    </row>
    <row r="516">
      <c r="K516" s="237"/>
      <c r="P516" s="242"/>
      <c r="Q516" s="207"/>
      <c r="U516" s="243"/>
      <c r="V516" s="243"/>
      <c r="W516" s="243"/>
      <c r="X516" s="243"/>
      <c r="Y516" s="243"/>
      <c r="Z516" s="243"/>
      <c r="AA516" s="243"/>
      <c r="AB516" s="243"/>
      <c r="AC516" s="243"/>
      <c r="AD516" s="243"/>
      <c r="AE516" s="243"/>
    </row>
    <row r="517">
      <c r="K517" s="237"/>
      <c r="P517" s="242"/>
      <c r="Q517" s="207"/>
      <c r="U517" s="243"/>
      <c r="V517" s="243"/>
      <c r="W517" s="243"/>
      <c r="X517" s="243"/>
      <c r="Y517" s="243"/>
      <c r="Z517" s="243"/>
      <c r="AA517" s="243"/>
      <c r="AB517" s="243"/>
      <c r="AC517" s="243"/>
      <c r="AD517" s="243"/>
      <c r="AE517" s="243"/>
    </row>
    <row r="518">
      <c r="K518" s="237"/>
      <c r="P518" s="242"/>
      <c r="Q518" s="207"/>
      <c r="U518" s="243"/>
      <c r="V518" s="243"/>
      <c r="W518" s="243"/>
      <c r="X518" s="243"/>
      <c r="Y518" s="243"/>
      <c r="Z518" s="243"/>
      <c r="AA518" s="243"/>
      <c r="AB518" s="243"/>
      <c r="AC518" s="243"/>
      <c r="AD518" s="243"/>
      <c r="AE518" s="243"/>
    </row>
    <row r="519">
      <c r="K519" s="237"/>
      <c r="P519" s="242"/>
      <c r="Q519" s="207"/>
      <c r="U519" s="243"/>
      <c r="V519" s="243"/>
      <c r="W519" s="243"/>
      <c r="X519" s="243"/>
      <c r="Y519" s="243"/>
      <c r="Z519" s="243"/>
      <c r="AA519" s="243"/>
      <c r="AB519" s="243"/>
      <c r="AC519" s="243"/>
      <c r="AD519" s="243"/>
      <c r="AE519" s="243"/>
    </row>
    <row r="520">
      <c r="K520" s="237"/>
      <c r="P520" s="242"/>
      <c r="Q520" s="207"/>
      <c r="U520" s="243"/>
      <c r="V520" s="243"/>
      <c r="W520" s="243"/>
      <c r="X520" s="243"/>
      <c r="Y520" s="243"/>
      <c r="Z520" s="243"/>
      <c r="AA520" s="243"/>
      <c r="AB520" s="243"/>
      <c r="AC520" s="243"/>
      <c r="AD520" s="243"/>
      <c r="AE520" s="243"/>
    </row>
    <row r="521">
      <c r="K521" s="237"/>
      <c r="P521" s="242"/>
      <c r="Q521" s="207"/>
      <c r="U521" s="243"/>
      <c r="V521" s="243"/>
      <c r="W521" s="243"/>
      <c r="X521" s="243"/>
      <c r="Y521" s="243"/>
      <c r="Z521" s="243"/>
      <c r="AA521" s="243"/>
      <c r="AB521" s="243"/>
      <c r="AC521" s="243"/>
      <c r="AD521" s="243"/>
      <c r="AE521" s="243"/>
    </row>
    <row r="522">
      <c r="K522" s="237"/>
      <c r="P522" s="242"/>
      <c r="Q522" s="207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</row>
    <row r="523">
      <c r="K523" s="237"/>
      <c r="P523" s="242"/>
      <c r="Q523" s="207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</row>
    <row r="524">
      <c r="K524" s="237"/>
      <c r="P524" s="242"/>
      <c r="Q524" s="207"/>
      <c r="U524" s="243"/>
      <c r="V524" s="243"/>
      <c r="W524" s="243"/>
      <c r="X524" s="243"/>
      <c r="Y524" s="243"/>
      <c r="Z524" s="243"/>
      <c r="AA524" s="243"/>
      <c r="AB524" s="243"/>
      <c r="AC524" s="243"/>
      <c r="AD524" s="243"/>
      <c r="AE524" s="243"/>
    </row>
    <row r="525">
      <c r="K525" s="237"/>
      <c r="P525" s="242"/>
      <c r="Q525" s="207"/>
      <c r="U525" s="243"/>
      <c r="V525" s="243"/>
      <c r="W525" s="243"/>
      <c r="X525" s="243"/>
      <c r="Y525" s="243"/>
      <c r="Z525" s="243"/>
      <c r="AA525" s="243"/>
      <c r="AB525" s="243"/>
      <c r="AC525" s="243"/>
      <c r="AD525" s="243"/>
      <c r="AE525" s="243"/>
    </row>
    <row r="526">
      <c r="K526" s="237"/>
      <c r="P526" s="242"/>
      <c r="Q526" s="207"/>
      <c r="U526" s="243"/>
      <c r="V526" s="243"/>
      <c r="W526" s="243"/>
      <c r="X526" s="243"/>
      <c r="Y526" s="243"/>
      <c r="Z526" s="243"/>
      <c r="AA526" s="243"/>
      <c r="AB526" s="243"/>
      <c r="AC526" s="243"/>
      <c r="AD526" s="243"/>
      <c r="AE526" s="243"/>
    </row>
    <row r="527">
      <c r="K527" s="237"/>
      <c r="P527" s="242"/>
      <c r="Q527" s="207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</row>
    <row r="528">
      <c r="K528" s="237"/>
      <c r="P528" s="242"/>
      <c r="Q528" s="207"/>
      <c r="U528" s="243"/>
      <c r="V528" s="243"/>
      <c r="W528" s="243"/>
      <c r="X528" s="243"/>
      <c r="Y528" s="243"/>
      <c r="Z528" s="243"/>
      <c r="AA528" s="243"/>
      <c r="AB528" s="243"/>
      <c r="AC528" s="243"/>
      <c r="AD528" s="243"/>
      <c r="AE528" s="243"/>
    </row>
    <row r="529">
      <c r="K529" s="237"/>
      <c r="P529" s="242"/>
      <c r="Q529" s="207"/>
      <c r="U529" s="243"/>
      <c r="V529" s="243"/>
      <c r="W529" s="243"/>
      <c r="X529" s="243"/>
      <c r="Y529" s="243"/>
      <c r="Z529" s="243"/>
      <c r="AA529" s="243"/>
      <c r="AB529" s="243"/>
      <c r="AC529" s="243"/>
      <c r="AD529" s="243"/>
      <c r="AE529" s="243"/>
    </row>
    <row r="530">
      <c r="K530" s="237"/>
      <c r="P530" s="242"/>
      <c r="Q530" s="207"/>
      <c r="U530" s="243"/>
      <c r="V530" s="243"/>
      <c r="W530" s="243"/>
      <c r="X530" s="243"/>
      <c r="Y530" s="243"/>
      <c r="Z530" s="243"/>
      <c r="AA530" s="243"/>
      <c r="AB530" s="243"/>
      <c r="AC530" s="243"/>
      <c r="AD530" s="243"/>
      <c r="AE530" s="243"/>
    </row>
    <row r="531">
      <c r="K531" s="237"/>
      <c r="P531" s="242"/>
      <c r="Q531" s="207"/>
      <c r="U531" s="243"/>
      <c r="V531" s="243"/>
      <c r="W531" s="243"/>
      <c r="X531" s="243"/>
      <c r="Y531" s="243"/>
      <c r="Z531" s="243"/>
      <c r="AA531" s="243"/>
      <c r="AB531" s="243"/>
      <c r="AC531" s="243"/>
      <c r="AD531" s="243"/>
      <c r="AE531" s="243"/>
    </row>
    <row r="532">
      <c r="K532" s="237"/>
      <c r="P532" s="242"/>
      <c r="Q532" s="207"/>
      <c r="U532" s="243"/>
      <c r="V532" s="243"/>
      <c r="W532" s="243"/>
      <c r="X532" s="243"/>
      <c r="Y532" s="243"/>
      <c r="Z532" s="243"/>
      <c r="AA532" s="243"/>
      <c r="AB532" s="243"/>
      <c r="AC532" s="243"/>
      <c r="AD532" s="243"/>
      <c r="AE532" s="243"/>
    </row>
    <row r="533">
      <c r="K533" s="237"/>
      <c r="P533" s="242"/>
      <c r="Q533" s="207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</row>
    <row r="534">
      <c r="K534" s="237"/>
      <c r="P534" s="242"/>
      <c r="Q534" s="207"/>
      <c r="U534" s="243"/>
      <c r="V534" s="243"/>
      <c r="W534" s="243"/>
      <c r="X534" s="243"/>
      <c r="Y534" s="243"/>
      <c r="Z534" s="243"/>
      <c r="AA534" s="243"/>
      <c r="AB534" s="243"/>
      <c r="AC534" s="243"/>
      <c r="AD534" s="243"/>
      <c r="AE534" s="243"/>
    </row>
    <row r="535">
      <c r="K535" s="237"/>
      <c r="P535" s="242"/>
      <c r="Q535" s="207"/>
      <c r="U535" s="243"/>
      <c r="V535" s="243"/>
      <c r="W535" s="243"/>
      <c r="X535" s="243"/>
      <c r="Y535" s="243"/>
      <c r="Z535" s="243"/>
      <c r="AA535" s="243"/>
      <c r="AB535" s="243"/>
      <c r="AC535" s="243"/>
      <c r="AD535" s="243"/>
      <c r="AE535" s="243"/>
    </row>
    <row r="536">
      <c r="K536" s="237"/>
      <c r="P536" s="242"/>
      <c r="Q536" s="207"/>
      <c r="U536" s="243"/>
      <c r="V536" s="243"/>
      <c r="W536" s="243"/>
      <c r="X536" s="243"/>
      <c r="Y536" s="243"/>
      <c r="Z536" s="243"/>
      <c r="AA536" s="243"/>
      <c r="AB536" s="243"/>
      <c r="AC536" s="243"/>
      <c r="AD536" s="243"/>
      <c r="AE536" s="243"/>
    </row>
    <row r="537">
      <c r="K537" s="237"/>
      <c r="P537" s="242"/>
      <c r="Q537" s="207"/>
      <c r="U537" s="243"/>
      <c r="V537" s="243"/>
      <c r="W537" s="243"/>
      <c r="X537" s="243"/>
      <c r="Y537" s="243"/>
      <c r="Z537" s="243"/>
      <c r="AA537" s="243"/>
      <c r="AB537" s="243"/>
      <c r="AC537" s="243"/>
      <c r="AD537" s="243"/>
      <c r="AE537" s="243"/>
    </row>
    <row r="538">
      <c r="K538" s="237"/>
      <c r="P538" s="242"/>
      <c r="Q538" s="207"/>
      <c r="U538" s="243"/>
      <c r="V538" s="243"/>
      <c r="W538" s="243"/>
      <c r="X538" s="243"/>
      <c r="Y538" s="243"/>
      <c r="Z538" s="243"/>
      <c r="AA538" s="243"/>
      <c r="AB538" s="243"/>
      <c r="AC538" s="243"/>
      <c r="AD538" s="243"/>
      <c r="AE538" s="243"/>
    </row>
    <row r="539">
      <c r="K539" s="237"/>
      <c r="P539" s="242"/>
      <c r="Q539" s="207"/>
      <c r="U539" s="243"/>
      <c r="V539" s="243"/>
      <c r="W539" s="243"/>
      <c r="X539" s="243"/>
      <c r="Y539" s="243"/>
      <c r="Z539" s="243"/>
      <c r="AA539" s="243"/>
      <c r="AB539" s="243"/>
      <c r="AC539" s="243"/>
      <c r="AD539" s="243"/>
      <c r="AE539" s="243"/>
    </row>
    <row r="540">
      <c r="K540" s="237"/>
      <c r="P540" s="242"/>
      <c r="Q540" s="207"/>
      <c r="U540" s="243"/>
      <c r="V540" s="243"/>
      <c r="W540" s="243"/>
      <c r="X540" s="243"/>
      <c r="Y540" s="243"/>
      <c r="Z540" s="243"/>
      <c r="AA540" s="243"/>
      <c r="AB540" s="243"/>
      <c r="AC540" s="243"/>
      <c r="AD540" s="243"/>
      <c r="AE540" s="243"/>
    </row>
    <row r="541">
      <c r="K541" s="237"/>
      <c r="P541" s="242"/>
      <c r="Q541" s="207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</row>
    <row r="542">
      <c r="K542" s="237"/>
      <c r="P542" s="242"/>
      <c r="Q542" s="207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</row>
    <row r="543">
      <c r="K543" s="237"/>
      <c r="P543" s="242"/>
      <c r="Q543" s="207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</row>
    <row r="544">
      <c r="K544" s="237"/>
      <c r="P544" s="242"/>
      <c r="Q544" s="207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</row>
    <row r="545">
      <c r="K545" s="237"/>
      <c r="P545" s="242"/>
      <c r="Q545" s="207"/>
      <c r="U545" s="243"/>
      <c r="V545" s="243"/>
      <c r="W545" s="243"/>
      <c r="X545" s="243"/>
      <c r="Y545" s="243"/>
      <c r="Z545" s="243"/>
      <c r="AA545" s="243"/>
      <c r="AB545" s="243"/>
      <c r="AC545" s="243"/>
      <c r="AD545" s="243"/>
      <c r="AE545" s="243"/>
    </row>
    <row r="546">
      <c r="K546" s="237"/>
      <c r="P546" s="242"/>
      <c r="Q546" s="207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</row>
    <row r="547">
      <c r="K547" s="237"/>
      <c r="P547" s="242"/>
      <c r="Q547" s="207"/>
      <c r="U547" s="243"/>
      <c r="V547" s="243"/>
      <c r="W547" s="243"/>
      <c r="X547" s="243"/>
      <c r="Y547" s="243"/>
      <c r="Z547" s="243"/>
      <c r="AA547" s="243"/>
      <c r="AB547" s="243"/>
      <c r="AC547" s="243"/>
      <c r="AD547" s="243"/>
      <c r="AE547" s="243"/>
    </row>
    <row r="548">
      <c r="K548" s="237"/>
      <c r="P548" s="242"/>
      <c r="Q548" s="207"/>
      <c r="U548" s="243"/>
      <c r="V548" s="243"/>
      <c r="W548" s="243"/>
      <c r="X548" s="243"/>
      <c r="Y548" s="243"/>
      <c r="Z548" s="243"/>
      <c r="AA548" s="243"/>
      <c r="AB548" s="243"/>
      <c r="AC548" s="243"/>
      <c r="AD548" s="243"/>
      <c r="AE548" s="243"/>
    </row>
    <row r="549">
      <c r="K549" s="237"/>
      <c r="P549" s="242"/>
      <c r="Q549" s="207"/>
      <c r="U549" s="243"/>
      <c r="V549" s="243"/>
      <c r="W549" s="243"/>
      <c r="X549" s="243"/>
      <c r="Y549" s="243"/>
      <c r="Z549" s="243"/>
      <c r="AA549" s="243"/>
      <c r="AB549" s="243"/>
      <c r="AC549" s="243"/>
      <c r="AD549" s="243"/>
      <c r="AE549" s="243"/>
    </row>
    <row r="550">
      <c r="K550" s="237"/>
      <c r="P550" s="242"/>
      <c r="Q550" s="207"/>
      <c r="U550" s="243"/>
      <c r="V550" s="243"/>
      <c r="W550" s="243"/>
      <c r="X550" s="243"/>
      <c r="Y550" s="243"/>
      <c r="Z550" s="243"/>
      <c r="AA550" s="243"/>
      <c r="AB550" s="243"/>
      <c r="AC550" s="243"/>
      <c r="AD550" s="243"/>
      <c r="AE550" s="243"/>
    </row>
    <row r="551">
      <c r="K551" s="237"/>
      <c r="P551" s="242"/>
      <c r="Q551" s="207"/>
      <c r="U551" s="243"/>
      <c r="V551" s="243"/>
      <c r="W551" s="243"/>
      <c r="X551" s="243"/>
      <c r="Y551" s="243"/>
      <c r="Z551" s="243"/>
      <c r="AA551" s="243"/>
      <c r="AB551" s="243"/>
      <c r="AC551" s="243"/>
      <c r="AD551" s="243"/>
      <c r="AE551" s="243"/>
    </row>
    <row r="552">
      <c r="K552" s="237"/>
      <c r="P552" s="242"/>
      <c r="Q552" s="207"/>
      <c r="U552" s="243"/>
      <c r="V552" s="243"/>
      <c r="W552" s="243"/>
      <c r="X552" s="243"/>
      <c r="Y552" s="243"/>
      <c r="Z552" s="243"/>
      <c r="AA552" s="243"/>
      <c r="AB552" s="243"/>
      <c r="AC552" s="243"/>
      <c r="AD552" s="243"/>
      <c r="AE552" s="243"/>
    </row>
    <row r="553">
      <c r="K553" s="237"/>
      <c r="P553" s="242"/>
      <c r="Q553" s="207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</row>
    <row r="554">
      <c r="K554" s="237"/>
      <c r="P554" s="242"/>
      <c r="Q554" s="207"/>
      <c r="U554" s="243"/>
      <c r="V554" s="243"/>
      <c r="W554" s="243"/>
      <c r="X554" s="243"/>
      <c r="Y554" s="243"/>
      <c r="Z554" s="243"/>
      <c r="AA554" s="243"/>
      <c r="AB554" s="243"/>
      <c r="AC554" s="243"/>
      <c r="AD554" s="243"/>
      <c r="AE554" s="243"/>
    </row>
    <row r="555">
      <c r="K555" s="237"/>
      <c r="P555" s="242"/>
      <c r="Q555" s="207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</row>
    <row r="556">
      <c r="K556" s="237"/>
      <c r="P556" s="242"/>
      <c r="Q556" s="207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</row>
    <row r="557">
      <c r="K557" s="237"/>
      <c r="P557" s="242"/>
      <c r="Q557" s="207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</row>
    <row r="558">
      <c r="K558" s="237"/>
      <c r="P558" s="242"/>
      <c r="Q558" s="207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</row>
    <row r="559">
      <c r="K559" s="237"/>
      <c r="P559" s="242"/>
      <c r="Q559" s="207"/>
      <c r="U559" s="243"/>
      <c r="V559" s="243"/>
      <c r="W559" s="243"/>
      <c r="X559" s="243"/>
      <c r="Y559" s="243"/>
      <c r="Z559" s="243"/>
      <c r="AA559" s="243"/>
      <c r="AB559" s="243"/>
      <c r="AC559" s="243"/>
      <c r="AD559" s="243"/>
      <c r="AE559" s="243"/>
    </row>
    <row r="560">
      <c r="K560" s="237"/>
      <c r="P560" s="242"/>
      <c r="Q560" s="207"/>
      <c r="U560" s="243"/>
      <c r="V560" s="243"/>
      <c r="W560" s="243"/>
      <c r="X560" s="243"/>
      <c r="Y560" s="243"/>
      <c r="Z560" s="243"/>
      <c r="AA560" s="243"/>
      <c r="AB560" s="243"/>
      <c r="AC560" s="243"/>
      <c r="AD560" s="243"/>
      <c r="AE560" s="243"/>
    </row>
    <row r="561">
      <c r="K561" s="237"/>
      <c r="P561" s="242"/>
      <c r="Q561" s="207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</row>
    <row r="562">
      <c r="K562" s="237"/>
      <c r="P562" s="242"/>
      <c r="Q562" s="207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</row>
    <row r="563">
      <c r="K563" s="237"/>
      <c r="P563" s="242"/>
      <c r="Q563" s="207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</row>
    <row r="564">
      <c r="K564" s="237"/>
      <c r="P564" s="242"/>
      <c r="Q564" s="207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</row>
    <row r="565">
      <c r="K565" s="237"/>
      <c r="P565" s="242"/>
      <c r="Q565" s="207"/>
      <c r="U565" s="243"/>
      <c r="V565" s="243"/>
      <c r="W565" s="243"/>
      <c r="X565" s="243"/>
      <c r="Y565" s="243"/>
      <c r="Z565" s="243"/>
      <c r="AA565" s="243"/>
      <c r="AB565" s="243"/>
      <c r="AC565" s="243"/>
      <c r="AD565" s="243"/>
      <c r="AE565" s="243"/>
    </row>
    <row r="566">
      <c r="K566" s="237"/>
      <c r="P566" s="242"/>
      <c r="Q566" s="207"/>
      <c r="U566" s="243"/>
      <c r="V566" s="243"/>
      <c r="W566" s="243"/>
      <c r="X566" s="243"/>
      <c r="Y566" s="243"/>
      <c r="Z566" s="243"/>
      <c r="AA566" s="243"/>
      <c r="AB566" s="243"/>
      <c r="AC566" s="243"/>
      <c r="AD566" s="243"/>
      <c r="AE566" s="243"/>
    </row>
    <row r="567">
      <c r="K567" s="237"/>
      <c r="P567" s="242"/>
      <c r="Q567" s="207"/>
      <c r="U567" s="243"/>
      <c r="V567" s="243"/>
      <c r="W567" s="243"/>
      <c r="X567" s="243"/>
      <c r="Y567" s="243"/>
      <c r="Z567" s="243"/>
      <c r="AA567" s="243"/>
      <c r="AB567" s="243"/>
      <c r="AC567" s="243"/>
      <c r="AD567" s="243"/>
      <c r="AE567" s="243"/>
    </row>
    <row r="568">
      <c r="K568" s="237"/>
      <c r="P568" s="242"/>
      <c r="Q568" s="207"/>
      <c r="U568" s="243"/>
      <c r="V568" s="243"/>
      <c r="W568" s="243"/>
      <c r="X568" s="243"/>
      <c r="Y568" s="243"/>
      <c r="Z568" s="243"/>
      <c r="AA568" s="243"/>
      <c r="AB568" s="243"/>
      <c r="AC568" s="243"/>
      <c r="AD568" s="243"/>
      <c r="AE568" s="243"/>
    </row>
    <row r="569">
      <c r="K569" s="237"/>
      <c r="P569" s="242"/>
      <c r="Q569" s="207"/>
      <c r="U569" s="243"/>
      <c r="V569" s="243"/>
      <c r="W569" s="243"/>
      <c r="X569" s="243"/>
      <c r="Y569" s="243"/>
      <c r="Z569" s="243"/>
      <c r="AA569" s="243"/>
      <c r="AB569" s="243"/>
      <c r="AC569" s="243"/>
      <c r="AD569" s="243"/>
      <c r="AE569" s="243"/>
    </row>
    <row r="570">
      <c r="K570" s="237"/>
      <c r="P570" s="242"/>
      <c r="Q570" s="207"/>
      <c r="U570" s="243"/>
      <c r="V570" s="243"/>
      <c r="W570" s="243"/>
      <c r="X570" s="243"/>
      <c r="Y570" s="243"/>
      <c r="Z570" s="243"/>
      <c r="AA570" s="243"/>
      <c r="AB570" s="243"/>
      <c r="AC570" s="243"/>
      <c r="AD570" s="243"/>
      <c r="AE570" s="243"/>
    </row>
    <row r="571">
      <c r="K571" s="237"/>
      <c r="P571" s="242"/>
      <c r="Q571" s="207"/>
      <c r="U571" s="243"/>
      <c r="V571" s="243"/>
      <c r="W571" s="243"/>
      <c r="X571" s="243"/>
      <c r="Y571" s="243"/>
      <c r="Z571" s="243"/>
      <c r="AA571" s="243"/>
      <c r="AB571" s="243"/>
      <c r="AC571" s="243"/>
      <c r="AD571" s="243"/>
      <c r="AE571" s="243"/>
    </row>
    <row r="572">
      <c r="K572" s="237"/>
      <c r="P572" s="242"/>
      <c r="Q572" s="207"/>
      <c r="U572" s="243"/>
      <c r="V572" s="243"/>
      <c r="W572" s="243"/>
      <c r="X572" s="243"/>
      <c r="Y572" s="243"/>
      <c r="Z572" s="243"/>
      <c r="AA572" s="243"/>
      <c r="AB572" s="243"/>
      <c r="AC572" s="243"/>
      <c r="AD572" s="243"/>
      <c r="AE572" s="243"/>
    </row>
    <row r="573">
      <c r="K573" s="237"/>
      <c r="P573" s="242"/>
      <c r="Q573" s="207"/>
      <c r="U573" s="243"/>
      <c r="V573" s="243"/>
      <c r="W573" s="243"/>
      <c r="X573" s="243"/>
      <c r="Y573" s="243"/>
      <c r="Z573" s="243"/>
      <c r="AA573" s="243"/>
      <c r="AB573" s="243"/>
      <c r="AC573" s="243"/>
      <c r="AD573" s="243"/>
      <c r="AE573" s="243"/>
    </row>
    <row r="574">
      <c r="K574" s="237"/>
      <c r="P574" s="242"/>
      <c r="Q574" s="207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</row>
    <row r="575">
      <c r="K575" s="237"/>
      <c r="P575" s="242"/>
      <c r="Q575" s="207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</row>
    <row r="576">
      <c r="K576" s="237"/>
      <c r="P576" s="242"/>
      <c r="Q576" s="207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</row>
    <row r="577">
      <c r="K577" s="237"/>
      <c r="P577" s="242"/>
      <c r="Q577" s="207"/>
      <c r="U577" s="243"/>
      <c r="V577" s="243"/>
      <c r="W577" s="243"/>
      <c r="X577" s="243"/>
      <c r="Y577" s="243"/>
      <c r="Z577" s="243"/>
      <c r="AA577" s="243"/>
      <c r="AB577" s="243"/>
      <c r="AC577" s="243"/>
      <c r="AD577" s="243"/>
      <c r="AE577" s="243"/>
    </row>
    <row r="578">
      <c r="K578" s="237"/>
      <c r="P578" s="242"/>
      <c r="Q578" s="207"/>
      <c r="U578" s="243"/>
      <c r="V578" s="243"/>
      <c r="W578" s="243"/>
      <c r="X578" s="243"/>
      <c r="Y578" s="243"/>
      <c r="Z578" s="243"/>
      <c r="AA578" s="243"/>
      <c r="AB578" s="243"/>
      <c r="AC578" s="243"/>
      <c r="AD578" s="243"/>
      <c r="AE578" s="243"/>
    </row>
    <row r="579">
      <c r="K579" s="237"/>
      <c r="P579" s="242"/>
      <c r="Q579" s="207"/>
      <c r="U579" s="243"/>
      <c r="V579" s="243"/>
      <c r="W579" s="243"/>
      <c r="X579" s="243"/>
      <c r="Y579" s="243"/>
      <c r="Z579" s="243"/>
      <c r="AA579" s="243"/>
      <c r="AB579" s="243"/>
      <c r="AC579" s="243"/>
      <c r="AD579" s="243"/>
      <c r="AE579" s="243"/>
    </row>
    <row r="580">
      <c r="K580" s="237"/>
      <c r="P580" s="242"/>
      <c r="Q580" s="207"/>
      <c r="U580" s="243"/>
      <c r="V580" s="243"/>
      <c r="W580" s="243"/>
      <c r="X580" s="243"/>
      <c r="Y580" s="243"/>
      <c r="Z580" s="243"/>
      <c r="AA580" s="243"/>
      <c r="AB580" s="243"/>
      <c r="AC580" s="243"/>
      <c r="AD580" s="243"/>
      <c r="AE580" s="243"/>
    </row>
    <row r="581">
      <c r="K581" s="237"/>
      <c r="P581" s="242"/>
      <c r="Q581" s="207"/>
      <c r="U581" s="243"/>
      <c r="V581" s="243"/>
      <c r="W581" s="243"/>
      <c r="X581" s="243"/>
      <c r="Y581" s="243"/>
      <c r="Z581" s="243"/>
      <c r="AA581" s="243"/>
      <c r="AB581" s="243"/>
      <c r="AC581" s="243"/>
      <c r="AD581" s="243"/>
      <c r="AE581" s="243"/>
    </row>
    <row r="582">
      <c r="K582" s="237"/>
      <c r="P582" s="242"/>
      <c r="Q582" s="207"/>
      <c r="U582" s="243"/>
      <c r="V582" s="243"/>
      <c r="W582" s="243"/>
      <c r="X582" s="243"/>
      <c r="Y582" s="243"/>
      <c r="Z582" s="243"/>
      <c r="AA582" s="243"/>
      <c r="AB582" s="243"/>
      <c r="AC582" s="243"/>
      <c r="AD582" s="243"/>
      <c r="AE582" s="243"/>
    </row>
    <row r="583">
      <c r="K583" s="237"/>
      <c r="P583" s="242"/>
      <c r="Q583" s="207"/>
      <c r="U583" s="243"/>
      <c r="V583" s="243"/>
      <c r="W583" s="243"/>
      <c r="X583" s="243"/>
      <c r="Y583" s="243"/>
      <c r="Z583" s="243"/>
      <c r="AA583" s="243"/>
      <c r="AB583" s="243"/>
      <c r="AC583" s="243"/>
      <c r="AD583" s="243"/>
      <c r="AE583" s="243"/>
    </row>
    <row r="584">
      <c r="K584" s="237"/>
      <c r="P584" s="242"/>
      <c r="Q584" s="207"/>
      <c r="U584" s="243"/>
      <c r="V584" s="243"/>
      <c r="W584" s="243"/>
      <c r="X584" s="243"/>
      <c r="Y584" s="243"/>
      <c r="Z584" s="243"/>
      <c r="AA584" s="243"/>
      <c r="AB584" s="243"/>
      <c r="AC584" s="243"/>
      <c r="AD584" s="243"/>
      <c r="AE584" s="243"/>
    </row>
    <row r="585">
      <c r="K585" s="237"/>
      <c r="P585" s="242"/>
      <c r="Q585" s="207"/>
      <c r="U585" s="243"/>
      <c r="V585" s="243"/>
      <c r="W585" s="243"/>
      <c r="X585" s="243"/>
      <c r="Y585" s="243"/>
      <c r="Z585" s="243"/>
      <c r="AA585" s="243"/>
      <c r="AB585" s="243"/>
      <c r="AC585" s="243"/>
      <c r="AD585" s="243"/>
      <c r="AE585" s="243"/>
    </row>
    <row r="586">
      <c r="K586" s="237"/>
      <c r="P586" s="242"/>
      <c r="Q586" s="207"/>
      <c r="U586" s="243"/>
      <c r="V586" s="243"/>
      <c r="W586" s="243"/>
      <c r="X586" s="243"/>
      <c r="Y586" s="243"/>
      <c r="Z586" s="243"/>
      <c r="AA586" s="243"/>
      <c r="AB586" s="243"/>
      <c r="AC586" s="243"/>
      <c r="AD586" s="243"/>
      <c r="AE586" s="243"/>
    </row>
    <row r="587">
      <c r="K587" s="237"/>
      <c r="P587" s="242"/>
      <c r="Q587" s="207"/>
      <c r="U587" s="243"/>
      <c r="V587" s="243"/>
      <c r="W587" s="243"/>
      <c r="X587" s="243"/>
      <c r="Y587" s="243"/>
      <c r="Z587" s="243"/>
      <c r="AA587" s="243"/>
      <c r="AB587" s="243"/>
      <c r="AC587" s="243"/>
      <c r="AD587" s="243"/>
      <c r="AE587" s="243"/>
    </row>
    <row r="588">
      <c r="K588" s="237"/>
      <c r="P588" s="242"/>
      <c r="Q588" s="207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</row>
    <row r="589">
      <c r="K589" s="237"/>
      <c r="P589" s="242"/>
      <c r="Q589" s="207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</row>
    <row r="590">
      <c r="K590" s="237"/>
      <c r="P590" s="242"/>
      <c r="Q590" s="207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</row>
    <row r="591">
      <c r="K591" s="237"/>
      <c r="P591" s="242"/>
      <c r="Q591" s="207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</row>
    <row r="592">
      <c r="K592" s="237"/>
      <c r="P592" s="242"/>
      <c r="Q592" s="207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</row>
    <row r="593">
      <c r="K593" s="237"/>
      <c r="P593" s="242"/>
      <c r="Q593" s="207"/>
      <c r="U593" s="243"/>
      <c r="V593" s="243"/>
      <c r="W593" s="243"/>
      <c r="X593" s="243"/>
      <c r="Y593" s="243"/>
      <c r="Z593" s="243"/>
      <c r="AA593" s="243"/>
      <c r="AB593" s="243"/>
      <c r="AC593" s="243"/>
      <c r="AD593" s="243"/>
      <c r="AE593" s="243"/>
    </row>
    <row r="594">
      <c r="K594" s="237"/>
      <c r="P594" s="242"/>
      <c r="Q594" s="207"/>
      <c r="U594" s="243"/>
      <c r="V594" s="243"/>
      <c r="W594" s="243"/>
      <c r="X594" s="243"/>
      <c r="Y594" s="243"/>
      <c r="Z594" s="243"/>
      <c r="AA594" s="243"/>
      <c r="AB594" s="243"/>
      <c r="AC594" s="243"/>
      <c r="AD594" s="243"/>
      <c r="AE594" s="243"/>
    </row>
    <row r="595">
      <c r="K595" s="237"/>
      <c r="P595" s="242"/>
      <c r="Q595" s="207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</row>
    <row r="596">
      <c r="K596" s="237"/>
      <c r="P596" s="242"/>
      <c r="Q596" s="207"/>
      <c r="U596" s="243"/>
      <c r="V596" s="243"/>
      <c r="W596" s="243"/>
      <c r="X596" s="243"/>
      <c r="Y596" s="243"/>
      <c r="Z596" s="243"/>
      <c r="AA596" s="243"/>
      <c r="AB596" s="243"/>
      <c r="AC596" s="243"/>
      <c r="AD596" s="243"/>
      <c r="AE596" s="243"/>
    </row>
    <row r="597">
      <c r="K597" s="237"/>
      <c r="P597" s="242"/>
      <c r="Q597" s="207"/>
      <c r="U597" s="243"/>
      <c r="V597" s="243"/>
      <c r="W597" s="243"/>
      <c r="X597" s="243"/>
      <c r="Y597" s="243"/>
      <c r="Z597" s="243"/>
      <c r="AA597" s="243"/>
      <c r="AB597" s="243"/>
      <c r="AC597" s="243"/>
      <c r="AD597" s="243"/>
      <c r="AE597" s="243"/>
    </row>
    <row r="598">
      <c r="K598" s="237"/>
      <c r="P598" s="242"/>
      <c r="Q598" s="207"/>
      <c r="U598" s="243"/>
      <c r="V598" s="243"/>
      <c r="W598" s="243"/>
      <c r="X598" s="243"/>
      <c r="Y598" s="243"/>
      <c r="Z598" s="243"/>
      <c r="AA598" s="243"/>
      <c r="AB598" s="243"/>
      <c r="AC598" s="243"/>
      <c r="AD598" s="243"/>
      <c r="AE598" s="243"/>
    </row>
    <row r="599">
      <c r="K599" s="237"/>
      <c r="P599" s="242"/>
      <c r="Q599" s="207"/>
      <c r="U599" s="243"/>
      <c r="V599" s="243"/>
      <c r="W599" s="243"/>
      <c r="X599" s="243"/>
      <c r="Y599" s="243"/>
      <c r="Z599" s="243"/>
      <c r="AA599" s="243"/>
      <c r="AB599" s="243"/>
      <c r="AC599" s="243"/>
      <c r="AD599" s="243"/>
      <c r="AE599" s="243"/>
    </row>
    <row r="600">
      <c r="K600" s="237"/>
      <c r="P600" s="242"/>
      <c r="Q600" s="207"/>
      <c r="U600" s="243"/>
      <c r="V600" s="243"/>
      <c r="W600" s="243"/>
      <c r="X600" s="243"/>
      <c r="Y600" s="243"/>
      <c r="Z600" s="243"/>
      <c r="AA600" s="243"/>
      <c r="AB600" s="243"/>
      <c r="AC600" s="243"/>
      <c r="AD600" s="243"/>
      <c r="AE600" s="243"/>
    </row>
    <row r="601">
      <c r="K601" s="237"/>
      <c r="P601" s="242"/>
      <c r="Q601" s="207"/>
      <c r="U601" s="243"/>
      <c r="V601" s="243"/>
      <c r="W601" s="243"/>
      <c r="X601" s="243"/>
      <c r="Y601" s="243"/>
      <c r="Z601" s="243"/>
      <c r="AA601" s="243"/>
      <c r="AB601" s="243"/>
      <c r="AC601" s="243"/>
      <c r="AD601" s="243"/>
      <c r="AE601" s="243"/>
    </row>
    <row r="602">
      <c r="K602" s="237"/>
      <c r="P602" s="242"/>
      <c r="Q602" s="207"/>
      <c r="U602" s="243"/>
      <c r="V602" s="243"/>
      <c r="W602" s="243"/>
      <c r="X602" s="243"/>
      <c r="Y602" s="243"/>
      <c r="Z602" s="243"/>
      <c r="AA602" s="243"/>
      <c r="AB602" s="243"/>
      <c r="AC602" s="243"/>
      <c r="AD602" s="243"/>
      <c r="AE602" s="243"/>
    </row>
    <row r="603">
      <c r="K603" s="237"/>
      <c r="P603" s="242"/>
      <c r="Q603" s="207"/>
      <c r="U603" s="243"/>
      <c r="V603" s="243"/>
      <c r="W603" s="243"/>
      <c r="X603" s="243"/>
      <c r="Y603" s="243"/>
      <c r="Z603" s="243"/>
      <c r="AA603" s="243"/>
      <c r="AB603" s="243"/>
      <c r="AC603" s="243"/>
      <c r="AD603" s="243"/>
      <c r="AE603" s="243"/>
    </row>
    <row r="604">
      <c r="K604" s="237"/>
      <c r="P604" s="242"/>
      <c r="Q604" s="207"/>
      <c r="U604" s="243"/>
      <c r="V604" s="243"/>
      <c r="W604" s="243"/>
      <c r="X604" s="243"/>
      <c r="Y604" s="243"/>
      <c r="Z604" s="243"/>
      <c r="AA604" s="243"/>
      <c r="AB604" s="243"/>
      <c r="AC604" s="243"/>
      <c r="AD604" s="243"/>
      <c r="AE604" s="243"/>
    </row>
    <row r="605">
      <c r="K605" s="237"/>
      <c r="P605" s="242"/>
      <c r="Q605" s="207"/>
      <c r="U605" s="243"/>
      <c r="V605" s="243"/>
      <c r="W605" s="243"/>
      <c r="X605" s="243"/>
      <c r="Y605" s="243"/>
      <c r="Z605" s="243"/>
      <c r="AA605" s="243"/>
      <c r="AB605" s="243"/>
      <c r="AC605" s="243"/>
      <c r="AD605" s="243"/>
      <c r="AE605" s="243"/>
    </row>
    <row r="606">
      <c r="K606" s="237"/>
      <c r="P606" s="242"/>
      <c r="Q606" s="207"/>
      <c r="U606" s="243"/>
      <c r="V606" s="243"/>
      <c r="W606" s="243"/>
      <c r="X606" s="243"/>
      <c r="Y606" s="243"/>
      <c r="Z606" s="243"/>
      <c r="AA606" s="243"/>
      <c r="AB606" s="243"/>
      <c r="AC606" s="243"/>
      <c r="AD606" s="243"/>
      <c r="AE606" s="243"/>
    </row>
    <row r="607">
      <c r="K607" s="237"/>
      <c r="P607" s="242"/>
      <c r="Q607" s="207"/>
      <c r="U607" s="243"/>
      <c r="V607" s="243"/>
      <c r="W607" s="243"/>
      <c r="X607" s="243"/>
      <c r="Y607" s="243"/>
      <c r="Z607" s="243"/>
      <c r="AA607" s="243"/>
      <c r="AB607" s="243"/>
      <c r="AC607" s="243"/>
      <c r="AD607" s="243"/>
      <c r="AE607" s="243"/>
    </row>
    <row r="608">
      <c r="K608" s="237"/>
      <c r="P608" s="242"/>
      <c r="Q608" s="207"/>
      <c r="U608" s="243"/>
      <c r="V608" s="243"/>
      <c r="W608" s="243"/>
      <c r="X608" s="243"/>
      <c r="Y608" s="243"/>
      <c r="Z608" s="243"/>
      <c r="AA608" s="243"/>
      <c r="AB608" s="243"/>
      <c r="AC608" s="243"/>
      <c r="AD608" s="243"/>
      <c r="AE608" s="243"/>
    </row>
    <row r="609">
      <c r="K609" s="237"/>
      <c r="P609" s="242"/>
      <c r="Q609" s="207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</row>
    <row r="610">
      <c r="K610" s="237"/>
      <c r="P610" s="242"/>
      <c r="Q610" s="207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</row>
    <row r="611">
      <c r="K611" s="237"/>
      <c r="P611" s="242"/>
      <c r="Q611" s="207"/>
      <c r="U611" s="243"/>
      <c r="V611" s="243"/>
      <c r="W611" s="243"/>
      <c r="X611" s="243"/>
      <c r="Y611" s="243"/>
      <c r="Z611" s="243"/>
      <c r="AA611" s="243"/>
      <c r="AB611" s="243"/>
      <c r="AC611" s="243"/>
      <c r="AD611" s="243"/>
      <c r="AE611" s="243"/>
    </row>
    <row r="612">
      <c r="K612" s="237"/>
      <c r="P612" s="242"/>
      <c r="Q612" s="207"/>
      <c r="U612" s="243"/>
      <c r="V612" s="243"/>
      <c r="W612" s="243"/>
      <c r="X612" s="243"/>
      <c r="Y612" s="243"/>
      <c r="Z612" s="243"/>
      <c r="AA612" s="243"/>
      <c r="AB612" s="243"/>
      <c r="AC612" s="243"/>
      <c r="AD612" s="243"/>
      <c r="AE612" s="243"/>
    </row>
    <row r="613">
      <c r="K613" s="237"/>
      <c r="P613" s="242"/>
      <c r="Q613" s="207"/>
      <c r="U613" s="243"/>
      <c r="V613" s="243"/>
      <c r="W613" s="243"/>
      <c r="X613" s="243"/>
      <c r="Y613" s="243"/>
      <c r="Z613" s="243"/>
      <c r="AA613" s="243"/>
      <c r="AB613" s="243"/>
      <c r="AC613" s="243"/>
      <c r="AD613" s="243"/>
      <c r="AE613" s="243"/>
    </row>
    <row r="614">
      <c r="K614" s="237"/>
      <c r="P614" s="242"/>
      <c r="Q614" s="207"/>
      <c r="U614" s="243"/>
      <c r="V614" s="243"/>
      <c r="W614" s="243"/>
      <c r="X614" s="243"/>
      <c r="Y614" s="243"/>
      <c r="Z614" s="243"/>
      <c r="AA614" s="243"/>
      <c r="AB614" s="243"/>
      <c r="AC614" s="243"/>
      <c r="AD614" s="243"/>
      <c r="AE614" s="243"/>
    </row>
    <row r="615">
      <c r="K615" s="237"/>
      <c r="P615" s="242"/>
      <c r="Q615" s="207"/>
      <c r="U615" s="243"/>
      <c r="V615" s="243"/>
      <c r="W615" s="243"/>
      <c r="X615" s="243"/>
      <c r="Y615" s="243"/>
      <c r="Z615" s="243"/>
      <c r="AA615" s="243"/>
      <c r="AB615" s="243"/>
      <c r="AC615" s="243"/>
      <c r="AD615" s="243"/>
      <c r="AE615" s="243"/>
    </row>
    <row r="616">
      <c r="K616" s="237"/>
      <c r="P616" s="242"/>
      <c r="Q616" s="207"/>
      <c r="U616" s="243"/>
      <c r="V616" s="243"/>
      <c r="W616" s="243"/>
      <c r="X616" s="243"/>
      <c r="Y616" s="243"/>
      <c r="Z616" s="243"/>
      <c r="AA616" s="243"/>
      <c r="AB616" s="243"/>
      <c r="AC616" s="243"/>
      <c r="AD616" s="243"/>
      <c r="AE616" s="243"/>
    </row>
    <row r="617">
      <c r="K617" s="237"/>
      <c r="P617" s="242"/>
      <c r="Q617" s="207"/>
      <c r="U617" s="243"/>
      <c r="V617" s="243"/>
      <c r="W617" s="243"/>
      <c r="X617" s="243"/>
      <c r="Y617" s="243"/>
      <c r="Z617" s="243"/>
      <c r="AA617" s="243"/>
      <c r="AB617" s="243"/>
      <c r="AC617" s="243"/>
      <c r="AD617" s="243"/>
      <c r="AE617" s="243"/>
    </row>
    <row r="618">
      <c r="K618" s="237"/>
      <c r="P618" s="242"/>
      <c r="Q618" s="207"/>
      <c r="U618" s="243"/>
      <c r="V618" s="243"/>
      <c r="W618" s="243"/>
      <c r="X618" s="243"/>
      <c r="Y618" s="243"/>
      <c r="Z618" s="243"/>
      <c r="AA618" s="243"/>
      <c r="AB618" s="243"/>
      <c r="AC618" s="243"/>
      <c r="AD618" s="243"/>
      <c r="AE618" s="243"/>
    </row>
    <row r="619">
      <c r="K619" s="237"/>
      <c r="P619" s="242"/>
      <c r="Q619" s="207"/>
      <c r="U619" s="243"/>
      <c r="V619" s="243"/>
      <c r="W619" s="243"/>
      <c r="X619" s="243"/>
      <c r="Y619" s="243"/>
      <c r="Z619" s="243"/>
      <c r="AA619" s="243"/>
      <c r="AB619" s="243"/>
      <c r="AC619" s="243"/>
      <c r="AD619" s="243"/>
      <c r="AE619" s="243"/>
    </row>
    <row r="620">
      <c r="K620" s="237"/>
      <c r="P620" s="242"/>
      <c r="Q620" s="207"/>
      <c r="U620" s="243"/>
      <c r="V620" s="243"/>
      <c r="W620" s="243"/>
      <c r="X620" s="243"/>
      <c r="Y620" s="243"/>
      <c r="Z620" s="243"/>
      <c r="AA620" s="243"/>
      <c r="AB620" s="243"/>
      <c r="AC620" s="243"/>
      <c r="AD620" s="243"/>
      <c r="AE620" s="243"/>
    </row>
    <row r="621">
      <c r="K621" s="237"/>
      <c r="P621" s="242"/>
      <c r="Q621" s="207"/>
      <c r="U621" s="243"/>
      <c r="V621" s="243"/>
      <c r="W621" s="243"/>
      <c r="X621" s="243"/>
      <c r="Y621" s="243"/>
      <c r="Z621" s="243"/>
      <c r="AA621" s="243"/>
      <c r="AB621" s="243"/>
      <c r="AC621" s="243"/>
      <c r="AD621" s="243"/>
      <c r="AE621" s="243"/>
    </row>
    <row r="622">
      <c r="K622" s="237"/>
      <c r="P622" s="242"/>
      <c r="Q622" s="207"/>
      <c r="U622" s="243"/>
      <c r="V622" s="243"/>
      <c r="W622" s="243"/>
      <c r="X622" s="243"/>
      <c r="Y622" s="243"/>
      <c r="Z622" s="243"/>
      <c r="AA622" s="243"/>
      <c r="AB622" s="243"/>
      <c r="AC622" s="243"/>
      <c r="AD622" s="243"/>
      <c r="AE622" s="243"/>
    </row>
    <row r="623">
      <c r="K623" s="237"/>
      <c r="P623" s="242"/>
      <c r="Q623" s="207"/>
      <c r="U623" s="243"/>
      <c r="V623" s="243"/>
      <c r="W623" s="243"/>
      <c r="X623" s="243"/>
      <c r="Y623" s="243"/>
      <c r="Z623" s="243"/>
      <c r="AA623" s="243"/>
      <c r="AB623" s="243"/>
      <c r="AC623" s="243"/>
      <c r="AD623" s="243"/>
      <c r="AE623" s="243"/>
    </row>
    <row r="624">
      <c r="K624" s="237"/>
      <c r="P624" s="242"/>
      <c r="Q624" s="207"/>
      <c r="U624" s="243"/>
      <c r="V624" s="243"/>
      <c r="W624" s="243"/>
      <c r="X624" s="243"/>
      <c r="Y624" s="243"/>
      <c r="Z624" s="243"/>
      <c r="AA624" s="243"/>
      <c r="AB624" s="243"/>
      <c r="AC624" s="243"/>
      <c r="AD624" s="243"/>
      <c r="AE624" s="243"/>
    </row>
    <row r="625">
      <c r="K625" s="237"/>
      <c r="P625" s="242"/>
      <c r="Q625" s="207"/>
      <c r="U625" s="243"/>
      <c r="V625" s="243"/>
      <c r="W625" s="243"/>
      <c r="X625" s="243"/>
      <c r="Y625" s="243"/>
      <c r="Z625" s="243"/>
      <c r="AA625" s="243"/>
      <c r="AB625" s="243"/>
      <c r="AC625" s="243"/>
      <c r="AD625" s="243"/>
      <c r="AE625" s="243"/>
    </row>
    <row r="626">
      <c r="K626" s="237"/>
      <c r="P626" s="242"/>
      <c r="Q626" s="207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</row>
    <row r="627">
      <c r="K627" s="237"/>
      <c r="P627" s="242"/>
      <c r="Q627" s="207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</row>
    <row r="628">
      <c r="K628" s="237"/>
      <c r="P628" s="242"/>
      <c r="Q628" s="207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</row>
    <row r="629">
      <c r="K629" s="237"/>
      <c r="P629" s="242"/>
      <c r="Q629" s="207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</row>
    <row r="630">
      <c r="K630" s="237"/>
      <c r="P630" s="242"/>
      <c r="Q630" s="207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</row>
    <row r="631">
      <c r="K631" s="237"/>
      <c r="P631" s="242"/>
      <c r="Q631" s="207"/>
      <c r="U631" s="243"/>
      <c r="V631" s="243"/>
      <c r="W631" s="243"/>
      <c r="X631" s="243"/>
      <c r="Y631" s="243"/>
      <c r="Z631" s="243"/>
      <c r="AA631" s="243"/>
      <c r="AB631" s="243"/>
      <c r="AC631" s="243"/>
      <c r="AD631" s="243"/>
      <c r="AE631" s="243"/>
    </row>
    <row r="632">
      <c r="K632" s="237"/>
      <c r="P632" s="242"/>
      <c r="Q632" s="207"/>
      <c r="U632" s="243"/>
      <c r="V632" s="243"/>
      <c r="W632" s="243"/>
      <c r="X632" s="243"/>
      <c r="Y632" s="243"/>
      <c r="Z632" s="243"/>
      <c r="AA632" s="243"/>
      <c r="AB632" s="243"/>
      <c r="AC632" s="243"/>
      <c r="AD632" s="243"/>
      <c r="AE632" s="243"/>
    </row>
    <row r="633">
      <c r="K633" s="237"/>
      <c r="P633" s="242"/>
      <c r="Q633" s="207"/>
      <c r="U633" s="243"/>
      <c r="V633" s="243"/>
      <c r="W633" s="243"/>
      <c r="X633" s="243"/>
      <c r="Y633" s="243"/>
      <c r="Z633" s="243"/>
      <c r="AA633" s="243"/>
      <c r="AB633" s="243"/>
      <c r="AC633" s="243"/>
      <c r="AD633" s="243"/>
      <c r="AE633" s="243"/>
    </row>
    <row r="634">
      <c r="K634" s="237"/>
      <c r="P634" s="242"/>
      <c r="Q634" s="207"/>
      <c r="U634" s="243"/>
      <c r="V634" s="243"/>
      <c r="W634" s="243"/>
      <c r="X634" s="243"/>
      <c r="Y634" s="243"/>
      <c r="Z634" s="243"/>
      <c r="AA634" s="243"/>
      <c r="AB634" s="243"/>
      <c r="AC634" s="243"/>
      <c r="AD634" s="243"/>
      <c r="AE634" s="243"/>
    </row>
    <row r="635">
      <c r="K635" s="237"/>
      <c r="P635" s="242"/>
      <c r="Q635" s="207"/>
      <c r="U635" s="243"/>
      <c r="V635" s="243"/>
      <c r="W635" s="243"/>
      <c r="X635" s="243"/>
      <c r="Y635" s="243"/>
      <c r="Z635" s="243"/>
      <c r="AA635" s="243"/>
      <c r="AB635" s="243"/>
      <c r="AC635" s="243"/>
      <c r="AD635" s="243"/>
      <c r="AE635" s="243"/>
    </row>
    <row r="636">
      <c r="K636" s="237"/>
      <c r="P636" s="242"/>
      <c r="Q636" s="207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</row>
    <row r="637">
      <c r="K637" s="237"/>
      <c r="P637" s="242"/>
      <c r="Q637" s="207"/>
      <c r="U637" s="243"/>
      <c r="V637" s="243"/>
      <c r="W637" s="243"/>
      <c r="X637" s="243"/>
      <c r="Y637" s="243"/>
      <c r="Z637" s="243"/>
      <c r="AA637" s="243"/>
      <c r="AB637" s="243"/>
      <c r="AC637" s="243"/>
      <c r="AD637" s="243"/>
      <c r="AE637" s="243"/>
    </row>
    <row r="638">
      <c r="K638" s="237"/>
      <c r="P638" s="242"/>
      <c r="Q638" s="207"/>
      <c r="U638" s="243"/>
      <c r="V638" s="243"/>
      <c r="W638" s="243"/>
      <c r="X638" s="243"/>
      <c r="Y638" s="243"/>
      <c r="Z638" s="243"/>
      <c r="AA638" s="243"/>
      <c r="AB638" s="243"/>
      <c r="AC638" s="243"/>
      <c r="AD638" s="243"/>
      <c r="AE638" s="243"/>
    </row>
    <row r="639">
      <c r="K639" s="237"/>
      <c r="P639" s="242"/>
      <c r="Q639" s="207"/>
      <c r="U639" s="243"/>
      <c r="V639" s="243"/>
      <c r="W639" s="243"/>
      <c r="X639" s="243"/>
      <c r="Y639" s="243"/>
      <c r="Z639" s="243"/>
      <c r="AA639" s="243"/>
      <c r="AB639" s="243"/>
      <c r="AC639" s="243"/>
      <c r="AD639" s="243"/>
      <c r="AE639" s="243"/>
    </row>
    <row r="640">
      <c r="K640" s="237"/>
      <c r="P640" s="242"/>
      <c r="Q640" s="207"/>
      <c r="U640" s="243"/>
      <c r="V640" s="243"/>
      <c r="W640" s="243"/>
      <c r="X640" s="243"/>
      <c r="Y640" s="243"/>
      <c r="Z640" s="243"/>
      <c r="AA640" s="243"/>
      <c r="AB640" s="243"/>
      <c r="AC640" s="243"/>
      <c r="AD640" s="243"/>
      <c r="AE640" s="243"/>
    </row>
    <row r="641">
      <c r="K641" s="237"/>
      <c r="P641" s="242"/>
      <c r="Q641" s="207"/>
      <c r="U641" s="243"/>
      <c r="V641" s="243"/>
      <c r="W641" s="243"/>
      <c r="X641" s="243"/>
      <c r="Y641" s="243"/>
      <c r="Z641" s="243"/>
      <c r="AA641" s="243"/>
      <c r="AB641" s="243"/>
      <c r="AC641" s="243"/>
      <c r="AD641" s="243"/>
      <c r="AE641" s="243"/>
    </row>
    <row r="642">
      <c r="K642" s="237"/>
      <c r="P642" s="242"/>
      <c r="Q642" s="207"/>
      <c r="U642" s="243"/>
      <c r="V642" s="243"/>
      <c r="W642" s="243"/>
      <c r="X642" s="243"/>
      <c r="Y642" s="243"/>
      <c r="Z642" s="243"/>
      <c r="AA642" s="243"/>
      <c r="AB642" s="243"/>
      <c r="AC642" s="243"/>
      <c r="AD642" s="243"/>
      <c r="AE642" s="243"/>
    </row>
    <row r="643">
      <c r="K643" s="237"/>
      <c r="P643" s="242"/>
      <c r="Q643" s="207"/>
      <c r="U643" s="243"/>
      <c r="V643" s="243"/>
      <c r="W643" s="243"/>
      <c r="X643" s="243"/>
      <c r="Y643" s="243"/>
      <c r="Z643" s="243"/>
      <c r="AA643" s="243"/>
      <c r="AB643" s="243"/>
      <c r="AC643" s="243"/>
      <c r="AD643" s="243"/>
      <c r="AE643" s="243"/>
    </row>
    <row r="644">
      <c r="K644" s="237"/>
      <c r="P644" s="242"/>
      <c r="Q644" s="207"/>
      <c r="U644" s="243"/>
      <c r="V644" s="243"/>
      <c r="W644" s="243"/>
      <c r="X644" s="243"/>
      <c r="Y644" s="243"/>
      <c r="Z644" s="243"/>
      <c r="AA644" s="243"/>
      <c r="AB644" s="243"/>
      <c r="AC644" s="243"/>
      <c r="AD644" s="243"/>
      <c r="AE644" s="243"/>
    </row>
    <row r="645">
      <c r="K645" s="237"/>
      <c r="P645" s="242"/>
      <c r="Q645" s="207"/>
      <c r="U645" s="243"/>
      <c r="V645" s="243"/>
      <c r="W645" s="243"/>
      <c r="X645" s="243"/>
      <c r="Y645" s="243"/>
      <c r="Z645" s="243"/>
      <c r="AA645" s="243"/>
      <c r="AB645" s="243"/>
      <c r="AC645" s="243"/>
      <c r="AD645" s="243"/>
      <c r="AE645" s="243"/>
    </row>
    <row r="646">
      <c r="K646" s="237"/>
      <c r="P646" s="242"/>
      <c r="Q646" s="207"/>
      <c r="U646" s="243"/>
      <c r="V646" s="243"/>
      <c r="W646" s="243"/>
      <c r="X646" s="243"/>
      <c r="Y646" s="243"/>
      <c r="Z646" s="243"/>
      <c r="AA646" s="243"/>
      <c r="AB646" s="243"/>
      <c r="AC646" s="243"/>
      <c r="AD646" s="243"/>
      <c r="AE646" s="243"/>
    </row>
    <row r="647">
      <c r="K647" s="237"/>
      <c r="P647" s="242"/>
      <c r="Q647" s="207"/>
      <c r="U647" s="243"/>
      <c r="V647" s="243"/>
      <c r="W647" s="243"/>
      <c r="X647" s="243"/>
      <c r="Y647" s="243"/>
      <c r="Z647" s="243"/>
      <c r="AA647" s="243"/>
      <c r="AB647" s="243"/>
      <c r="AC647" s="243"/>
      <c r="AD647" s="243"/>
      <c r="AE647" s="243"/>
    </row>
    <row r="648">
      <c r="K648" s="237"/>
      <c r="P648" s="242"/>
      <c r="Q648" s="207"/>
      <c r="U648" s="243"/>
      <c r="V648" s="243"/>
      <c r="W648" s="243"/>
      <c r="X648" s="243"/>
      <c r="Y648" s="243"/>
      <c r="Z648" s="243"/>
      <c r="AA648" s="243"/>
      <c r="AB648" s="243"/>
      <c r="AC648" s="243"/>
      <c r="AD648" s="243"/>
      <c r="AE648" s="243"/>
    </row>
    <row r="649">
      <c r="K649" s="237"/>
      <c r="P649" s="242"/>
      <c r="Q649" s="207"/>
      <c r="U649" s="243"/>
      <c r="V649" s="243"/>
      <c r="W649" s="243"/>
      <c r="X649" s="243"/>
      <c r="Y649" s="243"/>
      <c r="Z649" s="243"/>
      <c r="AA649" s="243"/>
      <c r="AB649" s="243"/>
      <c r="AC649" s="243"/>
      <c r="AD649" s="243"/>
      <c r="AE649" s="243"/>
    </row>
    <row r="650">
      <c r="K650" s="237"/>
      <c r="P650" s="242"/>
      <c r="Q650" s="207"/>
      <c r="U650" s="243"/>
      <c r="V650" s="243"/>
      <c r="W650" s="243"/>
      <c r="X650" s="243"/>
      <c r="Y650" s="243"/>
      <c r="Z650" s="243"/>
      <c r="AA650" s="243"/>
      <c r="AB650" s="243"/>
      <c r="AC650" s="243"/>
      <c r="AD650" s="243"/>
      <c r="AE650" s="243"/>
    </row>
    <row r="651">
      <c r="K651" s="237"/>
      <c r="P651" s="242"/>
      <c r="Q651" s="207"/>
      <c r="U651" s="243"/>
      <c r="V651" s="243"/>
      <c r="W651" s="243"/>
      <c r="X651" s="243"/>
      <c r="Y651" s="243"/>
      <c r="Z651" s="243"/>
      <c r="AA651" s="243"/>
      <c r="AB651" s="243"/>
      <c r="AC651" s="243"/>
      <c r="AD651" s="243"/>
      <c r="AE651" s="243"/>
    </row>
    <row r="652">
      <c r="K652" s="237"/>
      <c r="P652" s="242"/>
      <c r="Q652" s="207"/>
      <c r="U652" s="243"/>
      <c r="V652" s="243"/>
      <c r="W652" s="243"/>
      <c r="X652" s="243"/>
      <c r="Y652" s="243"/>
      <c r="Z652" s="243"/>
      <c r="AA652" s="243"/>
      <c r="AB652" s="243"/>
      <c r="AC652" s="243"/>
      <c r="AD652" s="243"/>
      <c r="AE652" s="243"/>
    </row>
    <row r="653">
      <c r="K653" s="237"/>
      <c r="P653" s="242"/>
      <c r="Q653" s="207"/>
      <c r="U653" s="243"/>
      <c r="V653" s="243"/>
      <c r="W653" s="243"/>
      <c r="X653" s="243"/>
      <c r="Y653" s="243"/>
      <c r="Z653" s="243"/>
      <c r="AA653" s="243"/>
      <c r="AB653" s="243"/>
      <c r="AC653" s="243"/>
      <c r="AD653" s="243"/>
      <c r="AE653" s="243"/>
    </row>
    <row r="654">
      <c r="K654" s="237"/>
      <c r="P654" s="242"/>
      <c r="Q654" s="207"/>
      <c r="U654" s="243"/>
      <c r="V654" s="243"/>
      <c r="W654" s="243"/>
      <c r="X654" s="243"/>
      <c r="Y654" s="243"/>
      <c r="Z654" s="243"/>
      <c r="AA654" s="243"/>
      <c r="AB654" s="243"/>
      <c r="AC654" s="243"/>
      <c r="AD654" s="243"/>
      <c r="AE654" s="243"/>
    </row>
    <row r="655">
      <c r="K655" s="237"/>
      <c r="P655" s="242"/>
      <c r="Q655" s="207"/>
      <c r="U655" s="243"/>
      <c r="V655" s="243"/>
      <c r="W655" s="243"/>
      <c r="X655" s="243"/>
      <c r="Y655" s="243"/>
      <c r="Z655" s="243"/>
      <c r="AA655" s="243"/>
      <c r="AB655" s="243"/>
      <c r="AC655" s="243"/>
      <c r="AD655" s="243"/>
      <c r="AE655" s="243"/>
    </row>
    <row r="656">
      <c r="K656" s="237"/>
      <c r="P656" s="242"/>
      <c r="Q656" s="207"/>
      <c r="U656" s="243"/>
      <c r="V656" s="243"/>
      <c r="W656" s="243"/>
      <c r="X656" s="243"/>
      <c r="Y656" s="243"/>
      <c r="Z656" s="243"/>
      <c r="AA656" s="243"/>
      <c r="AB656" s="243"/>
      <c r="AC656" s="243"/>
      <c r="AD656" s="243"/>
      <c r="AE656" s="243"/>
    </row>
    <row r="657">
      <c r="K657" s="237"/>
      <c r="P657" s="242"/>
      <c r="Q657" s="207"/>
      <c r="U657" s="243"/>
      <c r="V657" s="243"/>
      <c r="W657" s="243"/>
      <c r="X657" s="243"/>
      <c r="Y657" s="243"/>
      <c r="Z657" s="243"/>
      <c r="AA657" s="243"/>
      <c r="AB657" s="243"/>
      <c r="AC657" s="243"/>
      <c r="AD657" s="243"/>
      <c r="AE657" s="243"/>
    </row>
    <row r="658">
      <c r="K658" s="237"/>
      <c r="P658" s="242"/>
      <c r="Q658" s="207"/>
      <c r="U658" s="243"/>
      <c r="V658" s="243"/>
      <c r="W658" s="243"/>
      <c r="X658" s="243"/>
      <c r="Y658" s="243"/>
      <c r="Z658" s="243"/>
      <c r="AA658" s="243"/>
      <c r="AB658" s="243"/>
      <c r="AC658" s="243"/>
      <c r="AD658" s="243"/>
      <c r="AE658" s="243"/>
    </row>
    <row r="659">
      <c r="K659" s="237"/>
      <c r="P659" s="242"/>
      <c r="Q659" s="207"/>
      <c r="U659" s="243"/>
      <c r="V659" s="243"/>
      <c r="W659" s="243"/>
      <c r="X659" s="243"/>
      <c r="Y659" s="243"/>
      <c r="Z659" s="243"/>
      <c r="AA659" s="243"/>
      <c r="AB659" s="243"/>
      <c r="AC659" s="243"/>
      <c r="AD659" s="243"/>
      <c r="AE659" s="243"/>
    </row>
    <row r="660">
      <c r="K660" s="237"/>
      <c r="P660" s="242"/>
      <c r="Q660" s="207"/>
      <c r="U660" s="243"/>
      <c r="V660" s="243"/>
      <c r="W660" s="243"/>
      <c r="X660" s="243"/>
      <c r="Y660" s="243"/>
      <c r="Z660" s="243"/>
      <c r="AA660" s="243"/>
      <c r="AB660" s="243"/>
      <c r="AC660" s="243"/>
      <c r="AD660" s="243"/>
      <c r="AE660" s="243"/>
    </row>
    <row r="661">
      <c r="K661" s="237"/>
      <c r="P661" s="242"/>
      <c r="Q661" s="207"/>
      <c r="U661" s="243"/>
      <c r="V661" s="243"/>
      <c r="W661" s="243"/>
      <c r="X661" s="243"/>
      <c r="Y661" s="243"/>
      <c r="Z661" s="243"/>
      <c r="AA661" s="243"/>
      <c r="AB661" s="243"/>
      <c r="AC661" s="243"/>
      <c r="AD661" s="243"/>
      <c r="AE661" s="243"/>
    </row>
    <row r="662">
      <c r="K662" s="237"/>
      <c r="P662" s="242"/>
      <c r="Q662" s="207"/>
      <c r="U662" s="243"/>
      <c r="V662" s="243"/>
      <c r="W662" s="243"/>
      <c r="X662" s="243"/>
      <c r="Y662" s="243"/>
      <c r="Z662" s="243"/>
      <c r="AA662" s="243"/>
      <c r="AB662" s="243"/>
      <c r="AC662" s="243"/>
      <c r="AD662" s="243"/>
      <c r="AE662" s="243"/>
    </row>
    <row r="663">
      <c r="K663" s="237"/>
      <c r="P663" s="242"/>
      <c r="Q663" s="207"/>
      <c r="U663" s="243"/>
      <c r="V663" s="243"/>
      <c r="W663" s="243"/>
      <c r="X663" s="243"/>
      <c r="Y663" s="243"/>
      <c r="Z663" s="243"/>
      <c r="AA663" s="243"/>
      <c r="AB663" s="243"/>
      <c r="AC663" s="243"/>
      <c r="AD663" s="243"/>
      <c r="AE663" s="243"/>
    </row>
    <row r="664">
      <c r="K664" s="237"/>
      <c r="P664" s="242"/>
      <c r="Q664" s="207"/>
      <c r="U664" s="243"/>
      <c r="V664" s="243"/>
      <c r="W664" s="243"/>
      <c r="X664" s="243"/>
      <c r="Y664" s="243"/>
      <c r="Z664" s="243"/>
      <c r="AA664" s="243"/>
      <c r="AB664" s="243"/>
      <c r="AC664" s="243"/>
      <c r="AD664" s="243"/>
      <c r="AE664" s="243"/>
    </row>
    <row r="665">
      <c r="K665" s="237"/>
      <c r="P665" s="242"/>
      <c r="Q665" s="207"/>
      <c r="U665" s="243"/>
      <c r="V665" s="243"/>
      <c r="W665" s="243"/>
      <c r="X665" s="243"/>
      <c r="Y665" s="243"/>
      <c r="Z665" s="243"/>
      <c r="AA665" s="243"/>
      <c r="AB665" s="243"/>
      <c r="AC665" s="243"/>
      <c r="AD665" s="243"/>
      <c r="AE665" s="243"/>
    </row>
    <row r="666">
      <c r="K666" s="237"/>
      <c r="P666" s="242"/>
      <c r="Q666" s="207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</row>
    <row r="667">
      <c r="K667" s="237"/>
      <c r="P667" s="242"/>
      <c r="Q667" s="207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</row>
    <row r="668">
      <c r="K668" s="237"/>
      <c r="P668" s="242"/>
      <c r="Q668" s="207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</row>
    <row r="669">
      <c r="K669" s="237"/>
      <c r="P669" s="242"/>
      <c r="Q669" s="207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</row>
    <row r="670">
      <c r="K670" s="237"/>
      <c r="P670" s="242"/>
      <c r="Q670" s="207"/>
      <c r="U670" s="243"/>
      <c r="V670" s="243"/>
      <c r="W670" s="243"/>
      <c r="X670" s="243"/>
      <c r="Y670" s="243"/>
      <c r="Z670" s="243"/>
      <c r="AA670" s="243"/>
      <c r="AB670" s="243"/>
      <c r="AC670" s="243"/>
      <c r="AD670" s="243"/>
      <c r="AE670" s="243"/>
    </row>
    <row r="671">
      <c r="K671" s="237"/>
      <c r="P671" s="242"/>
      <c r="Q671" s="207"/>
      <c r="U671" s="243"/>
      <c r="V671" s="243"/>
      <c r="W671" s="243"/>
      <c r="X671" s="243"/>
      <c r="Y671" s="243"/>
      <c r="Z671" s="243"/>
      <c r="AA671" s="243"/>
      <c r="AB671" s="243"/>
      <c r="AC671" s="243"/>
      <c r="AD671" s="243"/>
      <c r="AE671" s="243"/>
    </row>
    <row r="672">
      <c r="K672" s="237"/>
      <c r="P672" s="242"/>
      <c r="Q672" s="207"/>
      <c r="U672" s="243"/>
      <c r="V672" s="243"/>
      <c r="W672" s="243"/>
      <c r="X672" s="243"/>
      <c r="Y672" s="243"/>
      <c r="Z672" s="243"/>
      <c r="AA672" s="243"/>
      <c r="AB672" s="243"/>
      <c r="AC672" s="243"/>
      <c r="AD672" s="243"/>
      <c r="AE672" s="243"/>
    </row>
    <row r="673">
      <c r="K673" s="237"/>
      <c r="P673" s="242"/>
      <c r="Q673" s="207"/>
      <c r="U673" s="243"/>
      <c r="V673" s="243"/>
      <c r="W673" s="243"/>
      <c r="X673" s="243"/>
      <c r="Y673" s="243"/>
      <c r="Z673" s="243"/>
      <c r="AA673" s="243"/>
      <c r="AB673" s="243"/>
      <c r="AC673" s="243"/>
      <c r="AD673" s="243"/>
      <c r="AE673" s="243"/>
    </row>
    <row r="674">
      <c r="K674" s="237"/>
      <c r="P674" s="242"/>
      <c r="Q674" s="207"/>
      <c r="U674" s="243"/>
      <c r="V674" s="243"/>
      <c r="W674" s="243"/>
      <c r="X674" s="243"/>
      <c r="Y674" s="243"/>
      <c r="Z674" s="243"/>
      <c r="AA674" s="243"/>
      <c r="AB674" s="243"/>
      <c r="AC674" s="243"/>
      <c r="AD674" s="243"/>
      <c r="AE674" s="243"/>
    </row>
    <row r="675">
      <c r="K675" s="237"/>
      <c r="P675" s="242"/>
      <c r="Q675" s="207"/>
      <c r="U675" s="243"/>
      <c r="V675" s="243"/>
      <c r="W675" s="243"/>
      <c r="X675" s="243"/>
      <c r="Y675" s="243"/>
      <c r="Z675" s="243"/>
      <c r="AA675" s="243"/>
      <c r="AB675" s="243"/>
      <c r="AC675" s="243"/>
      <c r="AD675" s="243"/>
      <c r="AE675" s="243"/>
    </row>
    <row r="676">
      <c r="K676" s="237"/>
      <c r="P676" s="242"/>
      <c r="Q676" s="207"/>
      <c r="U676" s="243"/>
      <c r="V676" s="243"/>
      <c r="W676" s="243"/>
      <c r="X676" s="243"/>
      <c r="Y676" s="243"/>
      <c r="Z676" s="243"/>
      <c r="AA676" s="243"/>
      <c r="AB676" s="243"/>
      <c r="AC676" s="243"/>
      <c r="AD676" s="243"/>
      <c r="AE676" s="243"/>
    </row>
    <row r="677">
      <c r="K677" s="237"/>
      <c r="P677" s="242"/>
      <c r="Q677" s="207"/>
      <c r="U677" s="243"/>
      <c r="V677" s="243"/>
      <c r="W677" s="243"/>
      <c r="X677" s="243"/>
      <c r="Y677" s="243"/>
      <c r="Z677" s="243"/>
      <c r="AA677" s="243"/>
      <c r="AB677" s="243"/>
      <c r="AC677" s="243"/>
      <c r="AD677" s="243"/>
      <c r="AE677" s="243"/>
    </row>
    <row r="678">
      <c r="K678" s="237"/>
      <c r="P678" s="242"/>
      <c r="Q678" s="207"/>
      <c r="U678" s="243"/>
      <c r="V678" s="243"/>
      <c r="W678" s="243"/>
      <c r="X678" s="243"/>
      <c r="Y678" s="243"/>
      <c r="Z678" s="243"/>
      <c r="AA678" s="243"/>
      <c r="AB678" s="243"/>
      <c r="AC678" s="243"/>
      <c r="AD678" s="243"/>
      <c r="AE678" s="243"/>
    </row>
    <row r="679">
      <c r="K679" s="237"/>
      <c r="P679" s="242"/>
      <c r="Q679" s="207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</row>
    <row r="680">
      <c r="K680" s="237"/>
      <c r="P680" s="242"/>
      <c r="Q680" s="207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</row>
    <row r="681">
      <c r="K681" s="237"/>
      <c r="P681" s="242"/>
      <c r="Q681" s="207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</row>
    <row r="682">
      <c r="K682" s="237"/>
      <c r="P682" s="242"/>
      <c r="Q682" s="207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</row>
    <row r="683">
      <c r="K683" s="237"/>
      <c r="P683" s="242"/>
      <c r="Q683" s="207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</row>
    <row r="684">
      <c r="K684" s="237"/>
      <c r="P684" s="242"/>
      <c r="Q684" s="207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</row>
    <row r="685">
      <c r="K685" s="237"/>
      <c r="P685" s="242"/>
      <c r="Q685" s="207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</row>
    <row r="686">
      <c r="K686" s="237"/>
      <c r="P686" s="242"/>
      <c r="Q686" s="207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</row>
    <row r="687">
      <c r="K687" s="237"/>
      <c r="P687" s="242"/>
      <c r="Q687" s="207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</row>
    <row r="688">
      <c r="K688" s="237"/>
      <c r="P688" s="242"/>
      <c r="Q688" s="207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</row>
    <row r="689">
      <c r="K689" s="237"/>
      <c r="P689" s="242"/>
      <c r="Q689" s="207"/>
      <c r="U689" s="243"/>
      <c r="V689" s="243"/>
      <c r="W689" s="243"/>
      <c r="X689" s="243"/>
      <c r="Y689" s="243"/>
      <c r="Z689" s="243"/>
      <c r="AA689" s="243"/>
      <c r="AB689" s="243"/>
      <c r="AC689" s="243"/>
      <c r="AD689" s="243"/>
      <c r="AE689" s="243"/>
    </row>
    <row r="690">
      <c r="K690" s="237"/>
      <c r="P690" s="242"/>
      <c r="Q690" s="207"/>
      <c r="U690" s="243"/>
      <c r="V690" s="243"/>
      <c r="W690" s="243"/>
      <c r="X690" s="243"/>
      <c r="Y690" s="243"/>
      <c r="Z690" s="243"/>
      <c r="AA690" s="243"/>
      <c r="AB690" s="243"/>
      <c r="AC690" s="243"/>
      <c r="AD690" s="243"/>
      <c r="AE690" s="243"/>
    </row>
    <row r="691">
      <c r="K691" s="237"/>
      <c r="P691" s="242"/>
      <c r="Q691" s="207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</row>
    <row r="692">
      <c r="K692" s="237"/>
      <c r="P692" s="242"/>
      <c r="Q692" s="207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</row>
    <row r="693">
      <c r="K693" s="237"/>
      <c r="P693" s="242"/>
      <c r="Q693" s="207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</row>
    <row r="694">
      <c r="K694" s="237"/>
      <c r="P694" s="242"/>
      <c r="Q694" s="207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</row>
    <row r="695">
      <c r="K695" s="237"/>
      <c r="P695" s="242"/>
      <c r="Q695" s="207"/>
      <c r="U695" s="243"/>
      <c r="V695" s="243"/>
      <c r="W695" s="243"/>
      <c r="X695" s="243"/>
      <c r="Y695" s="243"/>
      <c r="Z695" s="243"/>
      <c r="AA695" s="243"/>
      <c r="AB695" s="243"/>
      <c r="AC695" s="243"/>
      <c r="AD695" s="243"/>
      <c r="AE695" s="243"/>
    </row>
    <row r="696">
      <c r="K696" s="237"/>
      <c r="P696" s="242"/>
      <c r="Q696" s="207"/>
      <c r="U696" s="243"/>
      <c r="V696" s="243"/>
      <c r="W696" s="243"/>
      <c r="X696" s="243"/>
      <c r="Y696" s="243"/>
      <c r="Z696" s="243"/>
      <c r="AA696" s="243"/>
      <c r="AB696" s="243"/>
      <c r="AC696" s="243"/>
      <c r="AD696" s="243"/>
      <c r="AE696" s="243"/>
    </row>
    <row r="697">
      <c r="K697" s="237"/>
      <c r="P697" s="242"/>
      <c r="Q697" s="207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</row>
    <row r="698">
      <c r="K698" s="237"/>
      <c r="P698" s="242"/>
      <c r="Q698" s="207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</row>
    <row r="699">
      <c r="K699" s="237"/>
      <c r="P699" s="242"/>
      <c r="Q699" s="207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</row>
    <row r="700">
      <c r="K700" s="237"/>
      <c r="P700" s="242"/>
      <c r="Q700" s="207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</row>
    <row r="701">
      <c r="K701" s="237"/>
      <c r="P701" s="242"/>
      <c r="Q701" s="207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</row>
    <row r="702">
      <c r="K702" s="237"/>
      <c r="P702" s="242"/>
      <c r="Q702" s="207"/>
      <c r="U702" s="243"/>
      <c r="V702" s="243"/>
      <c r="W702" s="243"/>
      <c r="X702" s="243"/>
      <c r="Y702" s="243"/>
      <c r="Z702" s="243"/>
      <c r="AA702" s="243"/>
      <c r="AB702" s="243"/>
      <c r="AC702" s="243"/>
      <c r="AD702" s="243"/>
      <c r="AE702" s="243"/>
    </row>
    <row r="703">
      <c r="K703" s="237"/>
      <c r="P703" s="242"/>
      <c r="Q703" s="207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</row>
    <row r="704">
      <c r="K704" s="237"/>
      <c r="P704" s="242"/>
      <c r="Q704" s="207"/>
      <c r="U704" s="243"/>
      <c r="V704" s="243"/>
      <c r="W704" s="243"/>
      <c r="X704" s="243"/>
      <c r="Y704" s="243"/>
      <c r="Z704" s="243"/>
      <c r="AA704" s="243"/>
      <c r="AB704" s="243"/>
      <c r="AC704" s="243"/>
      <c r="AD704" s="243"/>
      <c r="AE704" s="243"/>
    </row>
    <row r="705">
      <c r="K705" s="237"/>
      <c r="P705" s="242"/>
      <c r="Q705" s="207"/>
      <c r="U705" s="243"/>
      <c r="V705" s="243"/>
      <c r="W705" s="243"/>
      <c r="X705" s="243"/>
      <c r="Y705" s="243"/>
      <c r="Z705" s="243"/>
      <c r="AA705" s="243"/>
      <c r="AB705" s="243"/>
      <c r="AC705" s="243"/>
      <c r="AD705" s="243"/>
      <c r="AE705" s="243"/>
    </row>
    <row r="706">
      <c r="K706" s="237"/>
      <c r="P706" s="242"/>
      <c r="Q706" s="207"/>
      <c r="U706" s="243"/>
      <c r="V706" s="243"/>
      <c r="W706" s="243"/>
      <c r="X706" s="243"/>
      <c r="Y706" s="243"/>
      <c r="Z706" s="243"/>
      <c r="AA706" s="243"/>
      <c r="AB706" s="243"/>
      <c r="AC706" s="243"/>
      <c r="AD706" s="243"/>
      <c r="AE706" s="243"/>
    </row>
    <row r="707">
      <c r="K707" s="237"/>
      <c r="P707" s="242"/>
      <c r="Q707" s="207"/>
      <c r="U707" s="243"/>
      <c r="V707" s="243"/>
      <c r="W707" s="243"/>
      <c r="X707" s="243"/>
      <c r="Y707" s="243"/>
      <c r="Z707" s="243"/>
      <c r="AA707" s="243"/>
      <c r="AB707" s="243"/>
      <c r="AC707" s="243"/>
      <c r="AD707" s="243"/>
      <c r="AE707" s="243"/>
    </row>
    <row r="708">
      <c r="K708" s="237"/>
      <c r="P708" s="242"/>
      <c r="Q708" s="207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</row>
    <row r="709">
      <c r="K709" s="237"/>
      <c r="P709" s="242"/>
      <c r="Q709" s="207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</row>
    <row r="710">
      <c r="K710" s="237"/>
      <c r="P710" s="242"/>
      <c r="Q710" s="207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</row>
    <row r="711">
      <c r="K711" s="237"/>
      <c r="P711" s="242"/>
      <c r="Q711" s="207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</row>
    <row r="712">
      <c r="K712" s="237"/>
      <c r="P712" s="242"/>
      <c r="Q712" s="207"/>
      <c r="U712" s="243"/>
      <c r="V712" s="243"/>
      <c r="W712" s="243"/>
      <c r="X712" s="243"/>
      <c r="Y712" s="243"/>
      <c r="Z712" s="243"/>
      <c r="AA712" s="243"/>
      <c r="AB712" s="243"/>
      <c r="AC712" s="243"/>
      <c r="AD712" s="243"/>
      <c r="AE712" s="243"/>
    </row>
    <row r="713">
      <c r="K713" s="237"/>
      <c r="P713" s="242"/>
      <c r="Q713" s="207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</row>
    <row r="714">
      <c r="K714" s="237"/>
      <c r="P714" s="242"/>
      <c r="Q714" s="207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</row>
    <row r="715">
      <c r="K715" s="237"/>
      <c r="P715" s="242"/>
      <c r="Q715" s="207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</row>
    <row r="716">
      <c r="K716" s="237"/>
      <c r="P716" s="242"/>
      <c r="Q716" s="207"/>
      <c r="U716" s="243"/>
      <c r="V716" s="243"/>
      <c r="W716" s="243"/>
      <c r="X716" s="243"/>
      <c r="Y716" s="243"/>
      <c r="Z716" s="243"/>
      <c r="AA716" s="243"/>
      <c r="AB716" s="243"/>
      <c r="AC716" s="243"/>
      <c r="AD716" s="243"/>
      <c r="AE716" s="243"/>
    </row>
    <row r="717">
      <c r="K717" s="237"/>
      <c r="P717" s="242"/>
      <c r="Q717" s="207"/>
      <c r="U717" s="243"/>
      <c r="V717" s="243"/>
      <c r="W717" s="243"/>
      <c r="X717" s="243"/>
      <c r="Y717" s="243"/>
      <c r="Z717" s="243"/>
      <c r="AA717" s="243"/>
      <c r="AB717" s="243"/>
      <c r="AC717" s="243"/>
      <c r="AD717" s="243"/>
      <c r="AE717" s="243"/>
    </row>
    <row r="718">
      <c r="K718" s="237"/>
      <c r="P718" s="242"/>
      <c r="Q718" s="207"/>
      <c r="U718" s="243"/>
      <c r="V718" s="243"/>
      <c r="W718" s="243"/>
      <c r="X718" s="243"/>
      <c r="Y718" s="243"/>
      <c r="Z718" s="243"/>
      <c r="AA718" s="243"/>
      <c r="AB718" s="243"/>
      <c r="AC718" s="243"/>
      <c r="AD718" s="243"/>
      <c r="AE718" s="243"/>
    </row>
    <row r="719">
      <c r="K719" s="237"/>
      <c r="P719" s="242"/>
      <c r="Q719" s="207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</row>
    <row r="720">
      <c r="K720" s="237"/>
      <c r="P720" s="242"/>
      <c r="Q720" s="207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</row>
    <row r="721">
      <c r="K721" s="237"/>
      <c r="P721" s="242"/>
      <c r="Q721" s="207"/>
      <c r="U721" s="243"/>
      <c r="V721" s="243"/>
      <c r="W721" s="243"/>
      <c r="X721" s="243"/>
      <c r="Y721" s="243"/>
      <c r="Z721" s="243"/>
      <c r="AA721" s="243"/>
      <c r="AB721" s="243"/>
      <c r="AC721" s="243"/>
      <c r="AD721" s="243"/>
      <c r="AE721" s="243"/>
    </row>
    <row r="722">
      <c r="K722" s="237"/>
      <c r="P722" s="242"/>
      <c r="Q722" s="207"/>
      <c r="U722" s="243"/>
      <c r="V722" s="243"/>
      <c r="W722" s="243"/>
      <c r="X722" s="243"/>
      <c r="Y722" s="243"/>
      <c r="Z722" s="243"/>
      <c r="AA722" s="243"/>
      <c r="AB722" s="243"/>
      <c r="AC722" s="243"/>
      <c r="AD722" s="243"/>
      <c r="AE722" s="243"/>
    </row>
    <row r="723">
      <c r="K723" s="237"/>
      <c r="P723" s="242"/>
      <c r="Q723" s="207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</row>
    <row r="724">
      <c r="K724" s="237"/>
      <c r="P724" s="242"/>
      <c r="Q724" s="207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</row>
    <row r="725">
      <c r="K725" s="237"/>
      <c r="P725" s="242"/>
      <c r="Q725" s="207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</row>
    <row r="726">
      <c r="K726" s="237"/>
      <c r="P726" s="242"/>
      <c r="Q726" s="207"/>
      <c r="U726" s="243"/>
      <c r="V726" s="243"/>
      <c r="W726" s="243"/>
      <c r="X726" s="243"/>
      <c r="Y726" s="243"/>
      <c r="Z726" s="243"/>
      <c r="AA726" s="243"/>
      <c r="AB726" s="243"/>
      <c r="AC726" s="243"/>
      <c r="AD726" s="243"/>
      <c r="AE726" s="243"/>
    </row>
    <row r="727">
      <c r="K727" s="237"/>
      <c r="P727" s="242"/>
      <c r="Q727" s="207"/>
      <c r="U727" s="243"/>
      <c r="V727" s="243"/>
      <c r="W727" s="243"/>
      <c r="X727" s="243"/>
      <c r="Y727" s="243"/>
      <c r="Z727" s="243"/>
      <c r="AA727" s="243"/>
      <c r="AB727" s="243"/>
      <c r="AC727" s="243"/>
      <c r="AD727" s="243"/>
      <c r="AE727" s="243"/>
    </row>
    <row r="728">
      <c r="K728" s="237"/>
      <c r="P728" s="242"/>
      <c r="Q728" s="207"/>
      <c r="U728" s="243"/>
      <c r="V728" s="243"/>
      <c r="W728" s="243"/>
      <c r="X728" s="243"/>
      <c r="Y728" s="243"/>
      <c r="Z728" s="243"/>
      <c r="AA728" s="243"/>
      <c r="AB728" s="243"/>
      <c r="AC728" s="243"/>
      <c r="AD728" s="243"/>
      <c r="AE728" s="243"/>
    </row>
    <row r="729">
      <c r="K729" s="237"/>
      <c r="P729" s="242"/>
      <c r="Q729" s="207"/>
      <c r="U729" s="243"/>
      <c r="V729" s="243"/>
      <c r="W729" s="243"/>
      <c r="X729" s="243"/>
      <c r="Y729" s="243"/>
      <c r="Z729" s="243"/>
      <c r="AA729" s="243"/>
      <c r="AB729" s="243"/>
      <c r="AC729" s="243"/>
      <c r="AD729" s="243"/>
      <c r="AE729" s="243"/>
    </row>
    <row r="730">
      <c r="K730" s="237"/>
      <c r="P730" s="242"/>
      <c r="Q730" s="207"/>
      <c r="U730" s="243"/>
      <c r="V730" s="243"/>
      <c r="W730" s="243"/>
      <c r="X730" s="243"/>
      <c r="Y730" s="243"/>
      <c r="Z730" s="243"/>
      <c r="AA730" s="243"/>
      <c r="AB730" s="243"/>
      <c r="AC730" s="243"/>
      <c r="AD730" s="243"/>
      <c r="AE730" s="243"/>
    </row>
    <row r="731">
      <c r="K731" s="237"/>
      <c r="P731" s="242"/>
      <c r="Q731" s="207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</row>
    <row r="732">
      <c r="K732" s="237"/>
      <c r="P732" s="242"/>
      <c r="Q732" s="207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</row>
    <row r="733">
      <c r="K733" s="237"/>
      <c r="P733" s="242"/>
      <c r="Q733" s="207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</row>
    <row r="734">
      <c r="K734" s="237"/>
      <c r="P734" s="242"/>
      <c r="Q734" s="207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</row>
    <row r="735">
      <c r="K735" s="237"/>
      <c r="P735" s="242"/>
      <c r="Q735" s="207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</row>
    <row r="736">
      <c r="K736" s="237"/>
      <c r="P736" s="242"/>
      <c r="Q736" s="207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</row>
    <row r="737">
      <c r="K737" s="237"/>
      <c r="P737" s="242"/>
      <c r="Q737" s="207"/>
      <c r="U737" s="243"/>
      <c r="V737" s="243"/>
      <c r="W737" s="243"/>
      <c r="X737" s="243"/>
      <c r="Y737" s="243"/>
      <c r="Z737" s="243"/>
      <c r="AA737" s="243"/>
      <c r="AB737" s="243"/>
      <c r="AC737" s="243"/>
      <c r="AD737" s="243"/>
      <c r="AE737" s="243"/>
    </row>
    <row r="738">
      <c r="K738" s="237"/>
      <c r="P738" s="242"/>
      <c r="Q738" s="207"/>
      <c r="U738" s="243"/>
      <c r="V738" s="243"/>
      <c r="W738" s="243"/>
      <c r="X738" s="243"/>
      <c r="Y738" s="243"/>
      <c r="Z738" s="243"/>
      <c r="AA738" s="243"/>
      <c r="AB738" s="243"/>
      <c r="AC738" s="243"/>
      <c r="AD738" s="243"/>
      <c r="AE738" s="243"/>
    </row>
    <row r="739">
      <c r="K739" s="237"/>
      <c r="P739" s="242"/>
      <c r="Q739" s="207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</row>
    <row r="740">
      <c r="K740" s="237"/>
      <c r="P740" s="242"/>
      <c r="Q740" s="207"/>
      <c r="U740" s="243"/>
      <c r="V740" s="243"/>
      <c r="W740" s="243"/>
      <c r="X740" s="243"/>
      <c r="Y740" s="243"/>
      <c r="Z740" s="243"/>
      <c r="AA740" s="243"/>
      <c r="AB740" s="243"/>
      <c r="AC740" s="243"/>
      <c r="AD740" s="243"/>
      <c r="AE740" s="243"/>
    </row>
    <row r="741">
      <c r="K741" s="237"/>
      <c r="P741" s="242"/>
      <c r="Q741" s="207"/>
      <c r="U741" s="243"/>
      <c r="V741" s="243"/>
      <c r="W741" s="243"/>
      <c r="X741" s="243"/>
      <c r="Y741" s="243"/>
      <c r="Z741" s="243"/>
      <c r="AA741" s="243"/>
      <c r="AB741" s="243"/>
      <c r="AC741" s="243"/>
      <c r="AD741" s="243"/>
      <c r="AE741" s="243"/>
    </row>
    <row r="742">
      <c r="K742" s="237"/>
      <c r="P742" s="242"/>
      <c r="Q742" s="207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</row>
    <row r="743">
      <c r="K743" s="237"/>
      <c r="P743" s="242"/>
      <c r="Q743" s="207"/>
      <c r="U743" s="243"/>
      <c r="V743" s="243"/>
      <c r="W743" s="243"/>
      <c r="X743" s="243"/>
      <c r="Y743" s="243"/>
      <c r="Z743" s="243"/>
      <c r="AA743" s="243"/>
      <c r="AB743" s="243"/>
      <c r="AC743" s="243"/>
      <c r="AD743" s="243"/>
      <c r="AE743" s="243"/>
    </row>
    <row r="744">
      <c r="K744" s="237"/>
      <c r="P744" s="242"/>
      <c r="Q744" s="207"/>
      <c r="U744" s="243"/>
      <c r="V744" s="243"/>
      <c r="W744" s="243"/>
      <c r="X744" s="243"/>
      <c r="Y744" s="243"/>
      <c r="Z744" s="243"/>
      <c r="AA744" s="243"/>
      <c r="AB744" s="243"/>
      <c r="AC744" s="243"/>
      <c r="AD744" s="243"/>
      <c r="AE744" s="243"/>
    </row>
    <row r="745">
      <c r="K745" s="237"/>
      <c r="P745" s="242"/>
      <c r="Q745" s="207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</row>
    <row r="746">
      <c r="K746" s="237"/>
      <c r="P746" s="242"/>
      <c r="Q746" s="207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</row>
    <row r="747">
      <c r="K747" s="237"/>
      <c r="P747" s="242"/>
      <c r="Q747" s="207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</row>
    <row r="748">
      <c r="K748" s="237"/>
      <c r="P748" s="242"/>
      <c r="Q748" s="207"/>
      <c r="U748" s="243"/>
      <c r="V748" s="243"/>
      <c r="W748" s="243"/>
      <c r="X748" s="243"/>
      <c r="Y748" s="243"/>
      <c r="Z748" s="243"/>
      <c r="AA748" s="243"/>
      <c r="AB748" s="243"/>
      <c r="AC748" s="243"/>
      <c r="AD748" s="243"/>
      <c r="AE748" s="243"/>
    </row>
    <row r="749">
      <c r="K749" s="237"/>
      <c r="P749" s="242"/>
      <c r="Q749" s="207"/>
      <c r="U749" s="243"/>
      <c r="V749" s="243"/>
      <c r="W749" s="243"/>
      <c r="X749" s="243"/>
      <c r="Y749" s="243"/>
      <c r="Z749" s="243"/>
      <c r="AA749" s="243"/>
      <c r="AB749" s="243"/>
      <c r="AC749" s="243"/>
      <c r="AD749" s="243"/>
      <c r="AE749" s="243"/>
    </row>
    <row r="750">
      <c r="K750" s="237"/>
      <c r="P750" s="242"/>
      <c r="Q750" s="207"/>
      <c r="U750" s="243"/>
      <c r="V750" s="243"/>
      <c r="W750" s="243"/>
      <c r="X750" s="243"/>
      <c r="Y750" s="243"/>
      <c r="Z750" s="243"/>
      <c r="AA750" s="243"/>
      <c r="AB750" s="243"/>
      <c r="AC750" s="243"/>
      <c r="AD750" s="243"/>
      <c r="AE750" s="243"/>
    </row>
    <row r="751">
      <c r="K751" s="237"/>
      <c r="P751" s="242"/>
      <c r="Q751" s="207"/>
      <c r="U751" s="243"/>
      <c r="V751" s="243"/>
      <c r="W751" s="243"/>
      <c r="X751" s="243"/>
      <c r="Y751" s="243"/>
      <c r="Z751" s="243"/>
      <c r="AA751" s="243"/>
      <c r="AB751" s="243"/>
      <c r="AC751" s="243"/>
      <c r="AD751" s="243"/>
      <c r="AE751" s="243"/>
    </row>
    <row r="752">
      <c r="K752" s="237"/>
      <c r="P752" s="242"/>
      <c r="Q752" s="207"/>
      <c r="U752" s="243"/>
      <c r="V752" s="243"/>
      <c r="W752" s="243"/>
      <c r="X752" s="243"/>
      <c r="Y752" s="243"/>
      <c r="Z752" s="243"/>
      <c r="AA752" s="243"/>
      <c r="AB752" s="243"/>
      <c r="AC752" s="243"/>
      <c r="AD752" s="243"/>
      <c r="AE752" s="243"/>
    </row>
    <row r="753">
      <c r="K753" s="237"/>
      <c r="P753" s="242"/>
      <c r="Q753" s="207"/>
      <c r="U753" s="243"/>
      <c r="V753" s="243"/>
      <c r="W753" s="243"/>
      <c r="X753" s="243"/>
      <c r="Y753" s="243"/>
      <c r="Z753" s="243"/>
      <c r="AA753" s="243"/>
      <c r="AB753" s="243"/>
      <c r="AC753" s="243"/>
      <c r="AD753" s="243"/>
      <c r="AE753" s="243"/>
    </row>
    <row r="754">
      <c r="K754" s="237"/>
      <c r="P754" s="242"/>
      <c r="Q754" s="207"/>
      <c r="U754" s="243"/>
      <c r="V754" s="243"/>
      <c r="W754" s="243"/>
      <c r="X754" s="243"/>
      <c r="Y754" s="243"/>
      <c r="Z754" s="243"/>
      <c r="AA754" s="243"/>
      <c r="AB754" s="243"/>
      <c r="AC754" s="243"/>
      <c r="AD754" s="243"/>
      <c r="AE754" s="243"/>
    </row>
    <row r="755">
      <c r="K755" s="237"/>
      <c r="P755" s="242"/>
      <c r="Q755" s="207"/>
      <c r="U755" s="243"/>
      <c r="V755" s="243"/>
      <c r="W755" s="243"/>
      <c r="X755" s="243"/>
      <c r="Y755" s="243"/>
      <c r="Z755" s="243"/>
      <c r="AA755" s="243"/>
      <c r="AB755" s="243"/>
      <c r="AC755" s="243"/>
      <c r="AD755" s="243"/>
      <c r="AE755" s="243"/>
    </row>
    <row r="756">
      <c r="K756" s="237"/>
      <c r="P756" s="242"/>
      <c r="Q756" s="207"/>
      <c r="U756" s="243"/>
      <c r="V756" s="243"/>
      <c r="W756" s="243"/>
      <c r="X756" s="243"/>
      <c r="Y756" s="243"/>
      <c r="Z756" s="243"/>
      <c r="AA756" s="243"/>
      <c r="AB756" s="243"/>
      <c r="AC756" s="243"/>
      <c r="AD756" s="243"/>
      <c r="AE756" s="243"/>
    </row>
    <row r="757">
      <c r="K757" s="237"/>
      <c r="P757" s="242"/>
      <c r="Q757" s="207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</row>
    <row r="758">
      <c r="K758" s="237"/>
      <c r="P758" s="242"/>
      <c r="Q758" s="207"/>
      <c r="U758" s="243"/>
      <c r="V758" s="243"/>
      <c r="W758" s="243"/>
      <c r="X758" s="243"/>
      <c r="Y758" s="243"/>
      <c r="Z758" s="243"/>
      <c r="AA758" s="243"/>
      <c r="AB758" s="243"/>
      <c r="AC758" s="243"/>
      <c r="AD758" s="243"/>
      <c r="AE758" s="243"/>
    </row>
    <row r="759">
      <c r="K759" s="237"/>
      <c r="P759" s="242"/>
      <c r="Q759" s="207"/>
      <c r="U759" s="243"/>
      <c r="V759" s="243"/>
      <c r="W759" s="243"/>
      <c r="X759" s="243"/>
      <c r="Y759" s="243"/>
      <c r="Z759" s="243"/>
      <c r="AA759" s="243"/>
      <c r="AB759" s="243"/>
      <c r="AC759" s="243"/>
      <c r="AD759" s="243"/>
      <c r="AE759" s="243"/>
    </row>
    <row r="760">
      <c r="K760" s="237"/>
      <c r="P760" s="242"/>
      <c r="Q760" s="207"/>
      <c r="U760" s="243"/>
      <c r="V760" s="243"/>
      <c r="W760" s="243"/>
      <c r="X760" s="243"/>
      <c r="Y760" s="243"/>
      <c r="Z760" s="243"/>
      <c r="AA760" s="243"/>
      <c r="AB760" s="243"/>
      <c r="AC760" s="243"/>
      <c r="AD760" s="243"/>
      <c r="AE760" s="243"/>
    </row>
    <row r="761">
      <c r="K761" s="237"/>
      <c r="P761" s="242"/>
      <c r="Q761" s="207"/>
      <c r="U761" s="243"/>
      <c r="V761" s="243"/>
      <c r="W761" s="243"/>
      <c r="X761" s="243"/>
      <c r="Y761" s="243"/>
      <c r="Z761" s="243"/>
      <c r="AA761" s="243"/>
      <c r="AB761" s="243"/>
      <c r="AC761" s="243"/>
      <c r="AD761" s="243"/>
      <c r="AE761" s="243"/>
    </row>
    <row r="762">
      <c r="K762" s="237"/>
      <c r="P762" s="242"/>
      <c r="Q762" s="207"/>
      <c r="U762" s="243"/>
      <c r="V762" s="243"/>
      <c r="W762" s="243"/>
      <c r="X762" s="243"/>
      <c r="Y762" s="243"/>
      <c r="Z762" s="243"/>
      <c r="AA762" s="243"/>
      <c r="AB762" s="243"/>
      <c r="AC762" s="243"/>
      <c r="AD762" s="243"/>
      <c r="AE762" s="243"/>
    </row>
    <row r="763">
      <c r="K763" s="237"/>
      <c r="P763" s="242"/>
      <c r="Q763" s="207"/>
      <c r="U763" s="243"/>
      <c r="V763" s="243"/>
      <c r="W763" s="243"/>
      <c r="X763" s="243"/>
      <c r="Y763" s="243"/>
      <c r="Z763" s="243"/>
      <c r="AA763" s="243"/>
      <c r="AB763" s="243"/>
      <c r="AC763" s="243"/>
      <c r="AD763" s="243"/>
      <c r="AE763" s="243"/>
    </row>
    <row r="764">
      <c r="K764" s="237"/>
      <c r="P764" s="242"/>
      <c r="Q764" s="207"/>
      <c r="U764" s="243"/>
      <c r="V764" s="243"/>
      <c r="W764" s="243"/>
      <c r="X764" s="243"/>
      <c r="Y764" s="243"/>
      <c r="Z764" s="243"/>
      <c r="AA764" s="243"/>
      <c r="AB764" s="243"/>
      <c r="AC764" s="243"/>
      <c r="AD764" s="243"/>
      <c r="AE764" s="243"/>
    </row>
    <row r="765">
      <c r="K765" s="237"/>
      <c r="P765" s="242"/>
      <c r="Q765" s="207"/>
      <c r="U765" s="243"/>
      <c r="V765" s="243"/>
      <c r="W765" s="243"/>
      <c r="X765" s="243"/>
      <c r="Y765" s="243"/>
      <c r="Z765" s="243"/>
      <c r="AA765" s="243"/>
      <c r="AB765" s="243"/>
      <c r="AC765" s="243"/>
      <c r="AD765" s="243"/>
      <c r="AE765" s="243"/>
    </row>
    <row r="766">
      <c r="K766" s="237"/>
      <c r="P766" s="242"/>
      <c r="Q766" s="207"/>
      <c r="U766" s="243"/>
      <c r="V766" s="243"/>
      <c r="W766" s="243"/>
      <c r="X766" s="243"/>
      <c r="Y766" s="243"/>
      <c r="Z766" s="243"/>
      <c r="AA766" s="243"/>
      <c r="AB766" s="243"/>
      <c r="AC766" s="243"/>
      <c r="AD766" s="243"/>
      <c r="AE766" s="243"/>
    </row>
    <row r="767">
      <c r="K767" s="237"/>
      <c r="P767" s="242"/>
      <c r="Q767" s="207"/>
      <c r="U767" s="243"/>
      <c r="V767" s="243"/>
      <c r="W767" s="243"/>
      <c r="X767" s="243"/>
      <c r="Y767" s="243"/>
      <c r="Z767" s="243"/>
      <c r="AA767" s="243"/>
      <c r="AB767" s="243"/>
      <c r="AC767" s="243"/>
      <c r="AD767" s="243"/>
      <c r="AE767" s="243"/>
    </row>
    <row r="768">
      <c r="K768" s="237"/>
      <c r="P768" s="242"/>
      <c r="Q768" s="207"/>
      <c r="U768" s="243"/>
      <c r="V768" s="243"/>
      <c r="W768" s="243"/>
      <c r="X768" s="243"/>
      <c r="Y768" s="243"/>
      <c r="Z768" s="243"/>
      <c r="AA768" s="243"/>
      <c r="AB768" s="243"/>
      <c r="AC768" s="243"/>
      <c r="AD768" s="243"/>
      <c r="AE768" s="243"/>
    </row>
    <row r="769">
      <c r="K769" s="237"/>
      <c r="P769" s="242"/>
      <c r="Q769" s="207"/>
      <c r="U769" s="243"/>
      <c r="V769" s="243"/>
      <c r="W769" s="243"/>
      <c r="X769" s="243"/>
      <c r="Y769" s="243"/>
      <c r="Z769" s="243"/>
      <c r="AA769" s="243"/>
      <c r="AB769" s="243"/>
      <c r="AC769" s="243"/>
      <c r="AD769" s="243"/>
      <c r="AE769" s="243"/>
    </row>
    <row r="770">
      <c r="K770" s="237"/>
      <c r="P770" s="242"/>
      <c r="Q770" s="207"/>
      <c r="U770" s="243"/>
      <c r="V770" s="243"/>
      <c r="W770" s="243"/>
      <c r="X770" s="243"/>
      <c r="Y770" s="243"/>
      <c r="Z770" s="243"/>
      <c r="AA770" s="243"/>
      <c r="AB770" s="243"/>
      <c r="AC770" s="243"/>
      <c r="AD770" s="243"/>
      <c r="AE770" s="243"/>
    </row>
    <row r="771">
      <c r="K771" s="237"/>
      <c r="P771" s="242"/>
      <c r="Q771" s="207"/>
      <c r="U771" s="243"/>
      <c r="V771" s="243"/>
      <c r="W771" s="243"/>
      <c r="X771" s="243"/>
      <c r="Y771" s="243"/>
      <c r="Z771" s="243"/>
      <c r="AA771" s="243"/>
      <c r="AB771" s="243"/>
      <c r="AC771" s="243"/>
      <c r="AD771" s="243"/>
      <c r="AE771" s="243"/>
    </row>
    <row r="772">
      <c r="K772" s="237"/>
      <c r="P772" s="242"/>
      <c r="Q772" s="207"/>
      <c r="U772" s="243"/>
      <c r="V772" s="243"/>
      <c r="W772" s="243"/>
      <c r="X772" s="243"/>
      <c r="Y772" s="243"/>
      <c r="Z772" s="243"/>
      <c r="AA772" s="243"/>
      <c r="AB772" s="243"/>
      <c r="AC772" s="243"/>
      <c r="AD772" s="243"/>
      <c r="AE772" s="243"/>
    </row>
    <row r="773">
      <c r="K773" s="237"/>
      <c r="P773" s="242"/>
      <c r="Q773" s="207"/>
      <c r="U773" s="243"/>
      <c r="V773" s="243"/>
      <c r="W773" s="243"/>
      <c r="X773" s="243"/>
      <c r="Y773" s="243"/>
      <c r="Z773" s="243"/>
      <c r="AA773" s="243"/>
      <c r="AB773" s="243"/>
      <c r="AC773" s="243"/>
      <c r="AD773" s="243"/>
      <c r="AE773" s="243"/>
    </row>
    <row r="774">
      <c r="K774" s="237"/>
      <c r="P774" s="242"/>
      <c r="Q774" s="207"/>
      <c r="U774" s="243"/>
      <c r="V774" s="243"/>
      <c r="W774" s="243"/>
      <c r="X774" s="243"/>
      <c r="Y774" s="243"/>
      <c r="Z774" s="243"/>
      <c r="AA774" s="243"/>
      <c r="AB774" s="243"/>
      <c r="AC774" s="243"/>
      <c r="AD774" s="243"/>
      <c r="AE774" s="243"/>
    </row>
    <row r="775">
      <c r="K775" s="237"/>
      <c r="P775" s="242"/>
      <c r="Q775" s="207"/>
      <c r="U775" s="243"/>
      <c r="V775" s="243"/>
      <c r="W775" s="243"/>
      <c r="X775" s="243"/>
      <c r="Y775" s="243"/>
      <c r="Z775" s="243"/>
      <c r="AA775" s="243"/>
      <c r="AB775" s="243"/>
      <c r="AC775" s="243"/>
      <c r="AD775" s="243"/>
      <c r="AE775" s="243"/>
    </row>
    <row r="776">
      <c r="K776" s="237"/>
      <c r="P776" s="242"/>
      <c r="Q776" s="207"/>
      <c r="U776" s="243"/>
      <c r="V776" s="243"/>
      <c r="W776" s="243"/>
      <c r="X776" s="243"/>
      <c r="Y776" s="243"/>
      <c r="Z776" s="243"/>
      <c r="AA776" s="243"/>
      <c r="AB776" s="243"/>
      <c r="AC776" s="243"/>
      <c r="AD776" s="243"/>
      <c r="AE776" s="243"/>
    </row>
    <row r="777">
      <c r="K777" s="237"/>
      <c r="P777" s="242"/>
      <c r="Q777" s="207"/>
      <c r="U777" s="243"/>
      <c r="V777" s="243"/>
      <c r="W777" s="243"/>
      <c r="X777" s="243"/>
      <c r="Y777" s="243"/>
      <c r="Z777" s="243"/>
      <c r="AA777" s="243"/>
      <c r="AB777" s="243"/>
      <c r="AC777" s="243"/>
      <c r="AD777" s="243"/>
      <c r="AE777" s="243"/>
    </row>
    <row r="778">
      <c r="K778" s="237"/>
      <c r="P778" s="242"/>
      <c r="Q778" s="207"/>
      <c r="U778" s="243"/>
      <c r="V778" s="243"/>
      <c r="W778" s="243"/>
      <c r="X778" s="243"/>
      <c r="Y778" s="243"/>
      <c r="Z778" s="243"/>
      <c r="AA778" s="243"/>
      <c r="AB778" s="243"/>
      <c r="AC778" s="243"/>
      <c r="AD778" s="243"/>
      <c r="AE778" s="243"/>
    </row>
    <row r="779">
      <c r="K779" s="237"/>
      <c r="P779" s="242"/>
      <c r="Q779" s="207"/>
      <c r="U779" s="243"/>
      <c r="V779" s="243"/>
      <c r="W779" s="243"/>
      <c r="X779" s="243"/>
      <c r="Y779" s="243"/>
      <c r="Z779" s="243"/>
      <c r="AA779" s="243"/>
      <c r="AB779" s="243"/>
      <c r="AC779" s="243"/>
      <c r="AD779" s="243"/>
      <c r="AE779" s="243"/>
    </row>
    <row r="780">
      <c r="K780" s="237"/>
      <c r="P780" s="242"/>
      <c r="Q780" s="207"/>
      <c r="U780" s="243"/>
      <c r="V780" s="243"/>
      <c r="W780" s="243"/>
      <c r="X780" s="243"/>
      <c r="Y780" s="243"/>
      <c r="Z780" s="243"/>
      <c r="AA780" s="243"/>
      <c r="AB780" s="243"/>
      <c r="AC780" s="243"/>
      <c r="AD780" s="243"/>
      <c r="AE780" s="243"/>
    </row>
    <row r="781">
      <c r="K781" s="237"/>
      <c r="P781" s="242"/>
      <c r="Q781" s="207"/>
      <c r="U781" s="243"/>
      <c r="V781" s="243"/>
      <c r="W781" s="243"/>
      <c r="X781" s="243"/>
      <c r="Y781" s="243"/>
      <c r="Z781" s="243"/>
      <c r="AA781" s="243"/>
      <c r="AB781" s="243"/>
      <c r="AC781" s="243"/>
      <c r="AD781" s="243"/>
      <c r="AE781" s="243"/>
    </row>
    <row r="782">
      <c r="K782" s="237"/>
      <c r="P782" s="242"/>
      <c r="Q782" s="207"/>
      <c r="U782" s="243"/>
      <c r="V782" s="243"/>
      <c r="W782" s="243"/>
      <c r="X782" s="243"/>
      <c r="Y782" s="243"/>
      <c r="Z782" s="243"/>
      <c r="AA782" s="243"/>
      <c r="AB782" s="243"/>
      <c r="AC782" s="243"/>
      <c r="AD782" s="243"/>
      <c r="AE782" s="243"/>
    </row>
    <row r="783">
      <c r="K783" s="237"/>
      <c r="P783" s="242"/>
      <c r="Q783" s="207"/>
      <c r="U783" s="243"/>
      <c r="V783" s="243"/>
      <c r="W783" s="243"/>
      <c r="X783" s="243"/>
      <c r="Y783" s="243"/>
      <c r="Z783" s="243"/>
      <c r="AA783" s="243"/>
      <c r="AB783" s="243"/>
      <c r="AC783" s="243"/>
      <c r="AD783" s="243"/>
      <c r="AE783" s="243"/>
    </row>
    <row r="784">
      <c r="K784" s="237"/>
      <c r="P784" s="242"/>
      <c r="Q784" s="207"/>
      <c r="U784" s="243"/>
      <c r="V784" s="243"/>
      <c r="W784" s="243"/>
      <c r="X784" s="243"/>
      <c r="Y784" s="243"/>
      <c r="Z784" s="243"/>
      <c r="AA784" s="243"/>
      <c r="AB784" s="243"/>
      <c r="AC784" s="243"/>
      <c r="AD784" s="243"/>
      <c r="AE784" s="243"/>
    </row>
    <row r="785">
      <c r="K785" s="237"/>
      <c r="P785" s="242"/>
      <c r="Q785" s="207"/>
      <c r="U785" s="243"/>
      <c r="V785" s="243"/>
      <c r="W785" s="243"/>
      <c r="X785" s="243"/>
      <c r="Y785" s="243"/>
      <c r="Z785" s="243"/>
      <c r="AA785" s="243"/>
      <c r="AB785" s="243"/>
      <c r="AC785" s="243"/>
      <c r="AD785" s="243"/>
      <c r="AE785" s="243"/>
    </row>
    <row r="786">
      <c r="K786" s="237"/>
      <c r="P786" s="242"/>
      <c r="Q786" s="207"/>
      <c r="U786" s="243"/>
      <c r="V786" s="243"/>
      <c r="W786" s="243"/>
      <c r="X786" s="243"/>
      <c r="Y786" s="243"/>
      <c r="Z786" s="243"/>
      <c r="AA786" s="243"/>
      <c r="AB786" s="243"/>
      <c r="AC786" s="243"/>
      <c r="AD786" s="243"/>
      <c r="AE786" s="243"/>
    </row>
    <row r="787">
      <c r="K787" s="237"/>
      <c r="P787" s="242"/>
      <c r="Q787" s="207"/>
      <c r="U787" s="243"/>
      <c r="V787" s="243"/>
      <c r="W787" s="243"/>
      <c r="X787" s="243"/>
      <c r="Y787" s="243"/>
      <c r="Z787" s="243"/>
      <c r="AA787" s="243"/>
      <c r="AB787" s="243"/>
      <c r="AC787" s="243"/>
      <c r="AD787" s="243"/>
      <c r="AE787" s="243"/>
    </row>
    <row r="788">
      <c r="K788" s="237"/>
      <c r="P788" s="242"/>
      <c r="Q788" s="207"/>
      <c r="U788" s="243"/>
      <c r="V788" s="243"/>
      <c r="W788" s="243"/>
      <c r="X788" s="243"/>
      <c r="Y788" s="243"/>
      <c r="Z788" s="243"/>
      <c r="AA788" s="243"/>
      <c r="AB788" s="243"/>
      <c r="AC788" s="243"/>
      <c r="AD788" s="243"/>
      <c r="AE788" s="243"/>
    </row>
    <row r="789">
      <c r="K789" s="237"/>
      <c r="P789" s="242"/>
      <c r="Q789" s="207"/>
      <c r="U789" s="243"/>
      <c r="V789" s="243"/>
      <c r="W789" s="243"/>
      <c r="X789" s="243"/>
      <c r="Y789" s="243"/>
      <c r="Z789" s="243"/>
      <c r="AA789" s="243"/>
      <c r="AB789" s="243"/>
      <c r="AC789" s="243"/>
      <c r="AD789" s="243"/>
      <c r="AE789" s="243"/>
    </row>
    <row r="790">
      <c r="K790" s="237"/>
      <c r="P790" s="242"/>
      <c r="Q790" s="207"/>
      <c r="U790" s="243"/>
      <c r="V790" s="243"/>
      <c r="W790" s="243"/>
      <c r="X790" s="243"/>
      <c r="Y790" s="243"/>
      <c r="Z790" s="243"/>
      <c r="AA790" s="243"/>
      <c r="AB790" s="243"/>
      <c r="AC790" s="243"/>
      <c r="AD790" s="243"/>
      <c r="AE790" s="243"/>
    </row>
    <row r="791">
      <c r="K791" s="237"/>
      <c r="P791" s="242"/>
      <c r="Q791" s="207"/>
      <c r="U791" s="243"/>
      <c r="V791" s="243"/>
      <c r="W791" s="243"/>
      <c r="X791" s="243"/>
      <c r="Y791" s="243"/>
      <c r="Z791" s="243"/>
      <c r="AA791" s="243"/>
      <c r="AB791" s="243"/>
      <c r="AC791" s="243"/>
      <c r="AD791" s="243"/>
      <c r="AE791" s="243"/>
    </row>
    <row r="792">
      <c r="K792" s="237"/>
      <c r="P792" s="242"/>
      <c r="Q792" s="207"/>
      <c r="U792" s="243"/>
      <c r="V792" s="243"/>
      <c r="W792" s="243"/>
      <c r="X792" s="243"/>
      <c r="Y792" s="243"/>
      <c r="Z792" s="243"/>
      <c r="AA792" s="243"/>
      <c r="AB792" s="243"/>
      <c r="AC792" s="243"/>
      <c r="AD792" s="243"/>
      <c r="AE792" s="243"/>
    </row>
    <row r="793">
      <c r="K793" s="237"/>
      <c r="P793" s="242"/>
      <c r="Q793" s="207"/>
      <c r="U793" s="243"/>
      <c r="V793" s="243"/>
      <c r="W793" s="243"/>
      <c r="X793" s="243"/>
      <c r="Y793" s="243"/>
      <c r="Z793" s="243"/>
      <c r="AA793" s="243"/>
      <c r="AB793" s="243"/>
      <c r="AC793" s="243"/>
      <c r="AD793" s="243"/>
      <c r="AE793" s="243"/>
    </row>
    <row r="794">
      <c r="K794" s="237"/>
      <c r="P794" s="242"/>
      <c r="Q794" s="207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</row>
    <row r="795">
      <c r="K795" s="237"/>
      <c r="P795" s="242"/>
      <c r="Q795" s="207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</row>
    <row r="796">
      <c r="K796" s="237"/>
      <c r="P796" s="242"/>
      <c r="Q796" s="207"/>
      <c r="U796" s="243"/>
      <c r="V796" s="243"/>
      <c r="W796" s="243"/>
      <c r="X796" s="243"/>
      <c r="Y796" s="243"/>
      <c r="Z796" s="243"/>
      <c r="AA796" s="243"/>
      <c r="AB796" s="243"/>
      <c r="AC796" s="243"/>
      <c r="AD796" s="243"/>
      <c r="AE796" s="243"/>
    </row>
    <row r="797">
      <c r="K797" s="237"/>
      <c r="P797" s="242"/>
      <c r="Q797" s="207"/>
      <c r="U797" s="243"/>
      <c r="V797" s="243"/>
      <c r="W797" s="243"/>
      <c r="X797" s="243"/>
      <c r="Y797" s="243"/>
      <c r="Z797" s="243"/>
      <c r="AA797" s="243"/>
      <c r="AB797" s="243"/>
      <c r="AC797" s="243"/>
      <c r="AD797" s="243"/>
      <c r="AE797" s="243"/>
    </row>
    <row r="798">
      <c r="K798" s="237"/>
      <c r="P798" s="242"/>
      <c r="Q798" s="207"/>
      <c r="U798" s="243"/>
      <c r="V798" s="243"/>
      <c r="W798" s="243"/>
      <c r="X798" s="243"/>
      <c r="Y798" s="243"/>
      <c r="Z798" s="243"/>
      <c r="AA798" s="243"/>
      <c r="AB798" s="243"/>
      <c r="AC798" s="243"/>
      <c r="AD798" s="243"/>
      <c r="AE798" s="243"/>
    </row>
    <row r="799">
      <c r="K799" s="237"/>
      <c r="P799" s="242"/>
      <c r="Q799" s="207"/>
      <c r="U799" s="243"/>
      <c r="V799" s="243"/>
      <c r="W799" s="243"/>
      <c r="X799" s="243"/>
      <c r="Y799" s="243"/>
      <c r="Z799" s="243"/>
      <c r="AA799" s="243"/>
      <c r="AB799" s="243"/>
      <c r="AC799" s="243"/>
      <c r="AD799" s="243"/>
      <c r="AE799" s="243"/>
    </row>
    <row r="800">
      <c r="K800" s="237"/>
      <c r="P800" s="242"/>
      <c r="Q800" s="207"/>
      <c r="U800" s="243"/>
      <c r="V800" s="243"/>
      <c r="W800" s="243"/>
      <c r="X800" s="243"/>
      <c r="Y800" s="243"/>
      <c r="Z800" s="243"/>
      <c r="AA800" s="243"/>
      <c r="AB800" s="243"/>
      <c r="AC800" s="243"/>
      <c r="AD800" s="243"/>
      <c r="AE800" s="243"/>
    </row>
    <row r="801">
      <c r="K801" s="237"/>
      <c r="P801" s="242"/>
      <c r="Q801" s="207"/>
      <c r="U801" s="243"/>
      <c r="V801" s="243"/>
      <c r="W801" s="243"/>
      <c r="X801" s="243"/>
      <c r="Y801" s="243"/>
      <c r="Z801" s="243"/>
      <c r="AA801" s="243"/>
      <c r="AB801" s="243"/>
      <c r="AC801" s="243"/>
      <c r="AD801" s="243"/>
      <c r="AE801" s="243"/>
    </row>
    <row r="802">
      <c r="K802" s="237"/>
      <c r="P802" s="242"/>
      <c r="Q802" s="207"/>
      <c r="U802" s="243"/>
      <c r="V802" s="243"/>
      <c r="W802" s="243"/>
      <c r="X802" s="243"/>
      <c r="Y802" s="243"/>
      <c r="Z802" s="243"/>
      <c r="AA802" s="243"/>
      <c r="AB802" s="243"/>
      <c r="AC802" s="243"/>
      <c r="AD802" s="243"/>
      <c r="AE802" s="243"/>
    </row>
    <row r="803">
      <c r="K803" s="237"/>
      <c r="P803" s="242"/>
      <c r="Q803" s="207"/>
      <c r="U803" s="243"/>
      <c r="V803" s="243"/>
      <c r="W803" s="243"/>
      <c r="X803" s="243"/>
      <c r="Y803" s="243"/>
      <c r="Z803" s="243"/>
      <c r="AA803" s="243"/>
      <c r="AB803" s="243"/>
      <c r="AC803" s="243"/>
      <c r="AD803" s="243"/>
      <c r="AE803" s="243"/>
    </row>
    <row r="804">
      <c r="K804" s="237"/>
      <c r="P804" s="242"/>
      <c r="Q804" s="207"/>
      <c r="U804" s="243"/>
      <c r="V804" s="243"/>
      <c r="W804" s="243"/>
      <c r="X804" s="243"/>
      <c r="Y804" s="243"/>
      <c r="Z804" s="243"/>
      <c r="AA804" s="243"/>
      <c r="AB804" s="243"/>
      <c r="AC804" s="243"/>
      <c r="AD804" s="243"/>
      <c r="AE804" s="243"/>
    </row>
    <row r="805">
      <c r="K805" s="237"/>
      <c r="P805" s="242"/>
      <c r="Q805" s="207"/>
      <c r="U805" s="243"/>
      <c r="V805" s="243"/>
      <c r="W805" s="243"/>
      <c r="X805" s="243"/>
      <c r="Y805" s="243"/>
      <c r="Z805" s="243"/>
      <c r="AA805" s="243"/>
      <c r="AB805" s="243"/>
      <c r="AC805" s="243"/>
      <c r="AD805" s="243"/>
      <c r="AE805" s="243"/>
    </row>
    <row r="806">
      <c r="K806" s="237"/>
      <c r="P806" s="242"/>
      <c r="Q806" s="207"/>
      <c r="U806" s="243"/>
      <c r="V806" s="243"/>
      <c r="W806" s="243"/>
      <c r="X806" s="243"/>
      <c r="Y806" s="243"/>
      <c r="Z806" s="243"/>
      <c r="AA806" s="243"/>
      <c r="AB806" s="243"/>
      <c r="AC806" s="243"/>
      <c r="AD806" s="243"/>
      <c r="AE806" s="243"/>
    </row>
    <row r="807">
      <c r="K807" s="237"/>
      <c r="P807" s="242"/>
      <c r="Q807" s="207"/>
      <c r="U807" s="243"/>
      <c r="V807" s="243"/>
      <c r="W807" s="243"/>
      <c r="X807" s="243"/>
      <c r="Y807" s="243"/>
      <c r="Z807" s="243"/>
      <c r="AA807" s="243"/>
      <c r="AB807" s="243"/>
      <c r="AC807" s="243"/>
      <c r="AD807" s="243"/>
      <c r="AE807" s="243"/>
    </row>
    <row r="808">
      <c r="K808" s="237"/>
      <c r="P808" s="242"/>
      <c r="Q808" s="207"/>
      <c r="U808" s="243"/>
      <c r="V808" s="243"/>
      <c r="W808" s="243"/>
      <c r="X808" s="243"/>
      <c r="Y808" s="243"/>
      <c r="Z808" s="243"/>
      <c r="AA808" s="243"/>
      <c r="AB808" s="243"/>
      <c r="AC808" s="243"/>
      <c r="AD808" s="243"/>
      <c r="AE808" s="243"/>
    </row>
    <row r="809">
      <c r="K809" s="237"/>
      <c r="P809" s="242"/>
      <c r="Q809" s="207"/>
      <c r="U809" s="243"/>
      <c r="V809" s="243"/>
      <c r="W809" s="243"/>
      <c r="X809" s="243"/>
      <c r="Y809" s="243"/>
      <c r="Z809" s="243"/>
      <c r="AA809" s="243"/>
      <c r="AB809" s="243"/>
      <c r="AC809" s="243"/>
      <c r="AD809" s="243"/>
      <c r="AE809" s="243"/>
    </row>
    <row r="810">
      <c r="K810" s="237"/>
      <c r="P810" s="242"/>
      <c r="Q810" s="207"/>
      <c r="U810" s="243"/>
      <c r="V810" s="243"/>
      <c r="W810" s="243"/>
      <c r="X810" s="243"/>
      <c r="Y810" s="243"/>
      <c r="Z810" s="243"/>
      <c r="AA810" s="243"/>
      <c r="AB810" s="243"/>
      <c r="AC810" s="243"/>
      <c r="AD810" s="243"/>
      <c r="AE810" s="243"/>
    </row>
    <row r="811">
      <c r="K811" s="237"/>
      <c r="P811" s="242"/>
      <c r="Q811" s="207"/>
      <c r="U811" s="243"/>
      <c r="V811" s="243"/>
      <c r="W811" s="243"/>
      <c r="X811" s="243"/>
      <c r="Y811" s="243"/>
      <c r="Z811" s="243"/>
      <c r="AA811" s="243"/>
      <c r="AB811" s="243"/>
      <c r="AC811" s="243"/>
      <c r="AD811" s="243"/>
      <c r="AE811" s="243"/>
    </row>
    <row r="812">
      <c r="K812" s="237"/>
      <c r="P812" s="242"/>
      <c r="Q812" s="207"/>
      <c r="U812" s="243"/>
      <c r="V812" s="243"/>
      <c r="W812" s="243"/>
      <c r="X812" s="243"/>
      <c r="Y812" s="243"/>
      <c r="Z812" s="243"/>
      <c r="AA812" s="243"/>
      <c r="AB812" s="243"/>
      <c r="AC812" s="243"/>
      <c r="AD812" s="243"/>
      <c r="AE812" s="243"/>
    </row>
    <row r="813">
      <c r="K813" s="237"/>
      <c r="P813" s="242"/>
      <c r="Q813" s="207"/>
      <c r="U813" s="243"/>
      <c r="V813" s="243"/>
      <c r="W813" s="243"/>
      <c r="X813" s="243"/>
      <c r="Y813" s="243"/>
      <c r="Z813" s="243"/>
      <c r="AA813" s="243"/>
      <c r="AB813" s="243"/>
      <c r="AC813" s="243"/>
      <c r="AD813" s="243"/>
      <c r="AE813" s="243"/>
    </row>
    <row r="814">
      <c r="K814" s="237"/>
      <c r="P814" s="242"/>
      <c r="Q814" s="207"/>
      <c r="U814" s="243"/>
      <c r="V814" s="243"/>
      <c r="W814" s="243"/>
      <c r="X814" s="243"/>
      <c r="Y814" s="243"/>
      <c r="Z814" s="243"/>
      <c r="AA814" s="243"/>
      <c r="AB814" s="243"/>
      <c r="AC814" s="243"/>
      <c r="AD814" s="243"/>
      <c r="AE814" s="243"/>
    </row>
    <row r="815">
      <c r="K815" s="237"/>
      <c r="P815" s="242"/>
      <c r="Q815" s="207"/>
      <c r="U815" s="243"/>
      <c r="V815" s="243"/>
      <c r="W815" s="243"/>
      <c r="X815" s="243"/>
      <c r="Y815" s="243"/>
      <c r="Z815" s="243"/>
      <c r="AA815" s="243"/>
      <c r="AB815" s="243"/>
      <c r="AC815" s="243"/>
      <c r="AD815" s="243"/>
      <c r="AE815" s="243"/>
    </row>
    <row r="816">
      <c r="K816" s="237"/>
      <c r="P816" s="242"/>
      <c r="Q816" s="207"/>
      <c r="U816" s="243"/>
      <c r="V816" s="243"/>
      <c r="W816" s="243"/>
      <c r="X816" s="243"/>
      <c r="Y816" s="243"/>
      <c r="Z816" s="243"/>
      <c r="AA816" s="243"/>
      <c r="AB816" s="243"/>
      <c r="AC816" s="243"/>
      <c r="AD816" s="243"/>
      <c r="AE816" s="243"/>
    </row>
    <row r="817">
      <c r="K817" s="237"/>
      <c r="P817" s="242"/>
      <c r="Q817" s="207"/>
      <c r="U817" s="243"/>
      <c r="V817" s="243"/>
      <c r="W817" s="243"/>
      <c r="X817" s="243"/>
      <c r="Y817" s="243"/>
      <c r="Z817" s="243"/>
      <c r="AA817" s="243"/>
      <c r="AB817" s="243"/>
      <c r="AC817" s="243"/>
      <c r="AD817" s="243"/>
      <c r="AE817" s="243"/>
    </row>
    <row r="818">
      <c r="K818" s="237"/>
      <c r="P818" s="242"/>
      <c r="Q818" s="207"/>
      <c r="U818" s="243"/>
      <c r="V818" s="243"/>
      <c r="W818" s="243"/>
      <c r="X818" s="243"/>
      <c r="Y818" s="243"/>
      <c r="Z818" s="243"/>
      <c r="AA818" s="243"/>
      <c r="AB818" s="243"/>
      <c r="AC818" s="243"/>
      <c r="AD818" s="243"/>
      <c r="AE818" s="243"/>
    </row>
    <row r="819">
      <c r="K819" s="237"/>
      <c r="P819" s="242"/>
      <c r="Q819" s="207"/>
      <c r="U819" s="243"/>
      <c r="V819" s="243"/>
      <c r="W819" s="243"/>
      <c r="X819" s="243"/>
      <c r="Y819" s="243"/>
      <c r="Z819" s="243"/>
      <c r="AA819" s="243"/>
      <c r="AB819" s="243"/>
      <c r="AC819" s="243"/>
      <c r="AD819" s="243"/>
      <c r="AE819" s="243"/>
    </row>
    <row r="820">
      <c r="K820" s="237"/>
      <c r="P820" s="242"/>
      <c r="Q820" s="207"/>
      <c r="U820" s="243"/>
      <c r="V820" s="243"/>
      <c r="W820" s="243"/>
      <c r="X820" s="243"/>
      <c r="Y820" s="243"/>
      <c r="Z820" s="243"/>
      <c r="AA820" s="243"/>
      <c r="AB820" s="243"/>
      <c r="AC820" s="243"/>
      <c r="AD820" s="243"/>
      <c r="AE820" s="243"/>
    </row>
    <row r="821">
      <c r="K821" s="237"/>
      <c r="P821" s="242"/>
      <c r="Q821" s="207"/>
      <c r="U821" s="243"/>
      <c r="V821" s="243"/>
      <c r="W821" s="243"/>
      <c r="X821" s="243"/>
      <c r="Y821" s="243"/>
      <c r="Z821" s="243"/>
      <c r="AA821" s="243"/>
      <c r="AB821" s="243"/>
      <c r="AC821" s="243"/>
      <c r="AD821" s="243"/>
      <c r="AE821" s="243"/>
    </row>
    <row r="822">
      <c r="K822" s="237"/>
      <c r="P822" s="242"/>
      <c r="Q822" s="207"/>
      <c r="U822" s="243"/>
      <c r="V822" s="243"/>
      <c r="W822" s="243"/>
      <c r="X822" s="243"/>
      <c r="Y822" s="243"/>
      <c r="Z822" s="243"/>
      <c r="AA822" s="243"/>
      <c r="AB822" s="243"/>
      <c r="AC822" s="243"/>
      <c r="AD822" s="243"/>
      <c r="AE822" s="243"/>
    </row>
    <row r="823">
      <c r="K823" s="237"/>
      <c r="P823" s="242"/>
      <c r="Q823" s="207"/>
      <c r="U823" s="243"/>
      <c r="V823" s="243"/>
      <c r="W823" s="243"/>
      <c r="X823" s="243"/>
      <c r="Y823" s="243"/>
      <c r="Z823" s="243"/>
      <c r="AA823" s="243"/>
      <c r="AB823" s="243"/>
      <c r="AC823" s="243"/>
      <c r="AD823" s="243"/>
      <c r="AE823" s="243"/>
    </row>
    <row r="824">
      <c r="K824" s="237"/>
      <c r="P824" s="242"/>
      <c r="Q824" s="207"/>
      <c r="U824" s="243"/>
      <c r="V824" s="243"/>
      <c r="W824" s="243"/>
      <c r="X824" s="243"/>
      <c r="Y824" s="243"/>
      <c r="Z824" s="243"/>
      <c r="AA824" s="243"/>
      <c r="AB824" s="243"/>
      <c r="AC824" s="243"/>
      <c r="AD824" s="243"/>
      <c r="AE824" s="243"/>
    </row>
    <row r="825">
      <c r="K825" s="237"/>
      <c r="P825" s="242"/>
      <c r="Q825" s="207"/>
      <c r="U825" s="243"/>
      <c r="V825" s="243"/>
      <c r="W825" s="243"/>
      <c r="X825" s="243"/>
      <c r="Y825" s="243"/>
      <c r="Z825" s="243"/>
      <c r="AA825" s="243"/>
      <c r="AB825" s="243"/>
      <c r="AC825" s="243"/>
      <c r="AD825" s="243"/>
      <c r="AE825" s="243"/>
    </row>
    <row r="826">
      <c r="K826" s="237"/>
      <c r="P826" s="242"/>
      <c r="Q826" s="207"/>
      <c r="U826" s="243"/>
      <c r="V826" s="243"/>
      <c r="W826" s="243"/>
      <c r="X826" s="243"/>
      <c r="Y826" s="243"/>
      <c r="Z826" s="243"/>
      <c r="AA826" s="243"/>
      <c r="AB826" s="243"/>
      <c r="AC826" s="243"/>
      <c r="AD826" s="243"/>
      <c r="AE826" s="243"/>
    </row>
    <row r="827">
      <c r="K827" s="237"/>
      <c r="P827" s="242"/>
      <c r="Q827" s="207"/>
      <c r="U827" s="243"/>
      <c r="V827" s="243"/>
      <c r="W827" s="243"/>
      <c r="X827" s="243"/>
      <c r="Y827" s="243"/>
      <c r="Z827" s="243"/>
      <c r="AA827" s="243"/>
      <c r="AB827" s="243"/>
      <c r="AC827" s="243"/>
      <c r="AD827" s="243"/>
      <c r="AE827" s="243"/>
    </row>
    <row r="828">
      <c r="K828" s="237"/>
      <c r="P828" s="242"/>
      <c r="Q828" s="207"/>
      <c r="U828" s="243"/>
      <c r="V828" s="243"/>
      <c r="W828" s="243"/>
      <c r="X828" s="243"/>
      <c r="Y828" s="243"/>
      <c r="Z828" s="243"/>
      <c r="AA828" s="243"/>
      <c r="AB828" s="243"/>
      <c r="AC828" s="243"/>
      <c r="AD828" s="243"/>
      <c r="AE828" s="243"/>
    </row>
    <row r="829">
      <c r="K829" s="237"/>
      <c r="P829" s="242"/>
      <c r="Q829" s="207"/>
      <c r="U829" s="243"/>
      <c r="V829" s="243"/>
      <c r="W829" s="243"/>
      <c r="X829" s="243"/>
      <c r="Y829" s="243"/>
      <c r="Z829" s="243"/>
      <c r="AA829" s="243"/>
      <c r="AB829" s="243"/>
      <c r="AC829" s="243"/>
      <c r="AD829" s="243"/>
      <c r="AE829" s="243"/>
    </row>
    <row r="830">
      <c r="K830" s="237"/>
      <c r="P830" s="242"/>
      <c r="Q830" s="207"/>
      <c r="U830" s="243"/>
      <c r="V830" s="243"/>
      <c r="W830" s="243"/>
      <c r="X830" s="243"/>
      <c r="Y830" s="243"/>
      <c r="Z830" s="243"/>
      <c r="AA830" s="243"/>
      <c r="AB830" s="243"/>
      <c r="AC830" s="243"/>
      <c r="AD830" s="243"/>
      <c r="AE830" s="243"/>
    </row>
    <row r="831">
      <c r="K831" s="237"/>
      <c r="P831" s="242"/>
      <c r="Q831" s="207"/>
      <c r="U831" s="243"/>
      <c r="V831" s="243"/>
      <c r="W831" s="243"/>
      <c r="X831" s="243"/>
      <c r="Y831" s="243"/>
      <c r="Z831" s="243"/>
      <c r="AA831" s="243"/>
      <c r="AB831" s="243"/>
      <c r="AC831" s="243"/>
      <c r="AD831" s="243"/>
      <c r="AE831" s="243"/>
    </row>
    <row r="832">
      <c r="K832" s="237"/>
      <c r="P832" s="242"/>
      <c r="Q832" s="207"/>
      <c r="U832" s="243"/>
      <c r="V832" s="243"/>
      <c r="W832" s="243"/>
      <c r="X832" s="243"/>
      <c r="Y832" s="243"/>
      <c r="Z832" s="243"/>
      <c r="AA832" s="243"/>
      <c r="AB832" s="243"/>
      <c r="AC832" s="243"/>
      <c r="AD832" s="243"/>
      <c r="AE832" s="243"/>
    </row>
    <row r="833">
      <c r="K833" s="237"/>
      <c r="P833" s="242"/>
      <c r="Q833" s="207"/>
      <c r="U833" s="243"/>
      <c r="V833" s="243"/>
      <c r="W833" s="243"/>
      <c r="X833" s="243"/>
      <c r="Y833" s="243"/>
      <c r="Z833" s="243"/>
      <c r="AA833" s="243"/>
      <c r="AB833" s="243"/>
      <c r="AC833" s="243"/>
      <c r="AD833" s="243"/>
      <c r="AE833" s="243"/>
    </row>
    <row r="834">
      <c r="K834" s="237"/>
      <c r="P834" s="242"/>
      <c r="Q834" s="207"/>
      <c r="U834" s="243"/>
      <c r="V834" s="243"/>
      <c r="W834" s="243"/>
      <c r="X834" s="243"/>
      <c r="Y834" s="243"/>
      <c r="Z834" s="243"/>
      <c r="AA834" s="243"/>
      <c r="AB834" s="243"/>
      <c r="AC834" s="243"/>
      <c r="AD834" s="243"/>
      <c r="AE834" s="243"/>
    </row>
    <row r="835">
      <c r="K835" s="237"/>
      <c r="P835" s="242"/>
      <c r="Q835" s="207"/>
      <c r="U835" s="243"/>
      <c r="V835" s="243"/>
      <c r="W835" s="243"/>
      <c r="X835" s="243"/>
      <c r="Y835" s="243"/>
      <c r="Z835" s="243"/>
      <c r="AA835" s="243"/>
      <c r="AB835" s="243"/>
      <c r="AC835" s="243"/>
      <c r="AD835" s="243"/>
      <c r="AE835" s="243"/>
    </row>
    <row r="836">
      <c r="K836" s="237"/>
      <c r="P836" s="242"/>
      <c r="Q836" s="207"/>
      <c r="U836" s="243"/>
      <c r="V836" s="243"/>
      <c r="W836" s="243"/>
      <c r="X836" s="243"/>
      <c r="Y836" s="243"/>
      <c r="Z836" s="243"/>
      <c r="AA836" s="243"/>
      <c r="AB836" s="243"/>
      <c r="AC836" s="243"/>
      <c r="AD836" s="243"/>
      <c r="AE836" s="243"/>
    </row>
    <row r="837">
      <c r="K837" s="237"/>
      <c r="P837" s="242"/>
      <c r="Q837" s="207"/>
      <c r="U837" s="243"/>
      <c r="V837" s="243"/>
      <c r="W837" s="243"/>
      <c r="X837" s="243"/>
      <c r="Y837" s="243"/>
      <c r="Z837" s="243"/>
      <c r="AA837" s="243"/>
      <c r="AB837" s="243"/>
      <c r="AC837" s="243"/>
      <c r="AD837" s="243"/>
      <c r="AE837" s="243"/>
    </row>
    <row r="838">
      <c r="K838" s="237"/>
      <c r="P838" s="242"/>
      <c r="Q838" s="207"/>
      <c r="U838" s="243"/>
      <c r="V838" s="243"/>
      <c r="W838" s="243"/>
      <c r="X838" s="243"/>
      <c r="Y838" s="243"/>
      <c r="Z838" s="243"/>
      <c r="AA838" s="243"/>
      <c r="AB838" s="243"/>
      <c r="AC838" s="243"/>
      <c r="AD838" s="243"/>
      <c r="AE838" s="243"/>
    </row>
    <row r="839">
      <c r="K839" s="237"/>
      <c r="P839" s="242"/>
      <c r="Q839" s="207"/>
      <c r="U839" s="243"/>
      <c r="V839" s="243"/>
      <c r="W839" s="243"/>
      <c r="X839" s="243"/>
      <c r="Y839" s="243"/>
      <c r="Z839" s="243"/>
      <c r="AA839" s="243"/>
      <c r="AB839" s="243"/>
      <c r="AC839" s="243"/>
      <c r="AD839" s="243"/>
      <c r="AE839" s="243"/>
    </row>
    <row r="840">
      <c r="K840" s="237"/>
      <c r="P840" s="242"/>
      <c r="Q840" s="207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</row>
    <row r="841">
      <c r="K841" s="237"/>
      <c r="P841" s="242"/>
      <c r="Q841" s="207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</row>
    <row r="842">
      <c r="K842" s="237"/>
      <c r="P842" s="242"/>
      <c r="Q842" s="207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</row>
    <row r="843">
      <c r="K843" s="237"/>
      <c r="P843" s="242"/>
      <c r="Q843" s="207"/>
      <c r="U843" s="243"/>
      <c r="V843" s="243"/>
      <c r="W843" s="243"/>
      <c r="X843" s="243"/>
      <c r="Y843" s="243"/>
      <c r="Z843" s="243"/>
      <c r="AA843" s="243"/>
      <c r="AB843" s="243"/>
      <c r="AC843" s="243"/>
      <c r="AD843" s="243"/>
      <c r="AE843" s="243"/>
    </row>
    <row r="844">
      <c r="K844" s="237"/>
      <c r="P844" s="242"/>
      <c r="Q844" s="207"/>
      <c r="U844" s="243"/>
      <c r="V844" s="243"/>
      <c r="W844" s="243"/>
      <c r="X844" s="243"/>
      <c r="Y844" s="243"/>
      <c r="Z844" s="243"/>
      <c r="AA844" s="243"/>
      <c r="AB844" s="243"/>
      <c r="AC844" s="243"/>
      <c r="AD844" s="243"/>
      <c r="AE844" s="243"/>
    </row>
    <row r="845">
      <c r="K845" s="237"/>
      <c r="P845" s="242"/>
      <c r="Q845" s="207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</row>
    <row r="846">
      <c r="K846" s="237"/>
      <c r="P846" s="242"/>
      <c r="Q846" s="207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</row>
    <row r="847">
      <c r="K847" s="237"/>
      <c r="P847" s="242"/>
      <c r="Q847" s="207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</row>
    <row r="848">
      <c r="K848" s="237"/>
      <c r="P848" s="242"/>
      <c r="Q848" s="207"/>
      <c r="U848" s="243"/>
      <c r="V848" s="243"/>
      <c r="W848" s="243"/>
      <c r="X848" s="243"/>
      <c r="Y848" s="243"/>
      <c r="Z848" s="243"/>
      <c r="AA848" s="243"/>
      <c r="AB848" s="243"/>
      <c r="AC848" s="243"/>
      <c r="AD848" s="243"/>
      <c r="AE848" s="243"/>
    </row>
    <row r="849">
      <c r="K849" s="237"/>
      <c r="P849" s="242"/>
      <c r="Q849" s="207"/>
      <c r="U849" s="243"/>
      <c r="V849" s="243"/>
      <c r="W849" s="243"/>
      <c r="X849" s="243"/>
      <c r="Y849" s="243"/>
      <c r="Z849" s="243"/>
      <c r="AA849" s="243"/>
      <c r="AB849" s="243"/>
      <c r="AC849" s="243"/>
      <c r="AD849" s="243"/>
      <c r="AE849" s="243"/>
    </row>
    <row r="850">
      <c r="K850" s="237"/>
      <c r="P850" s="242"/>
      <c r="Q850" s="207"/>
      <c r="U850" s="243"/>
      <c r="V850" s="243"/>
      <c r="W850" s="243"/>
      <c r="X850" s="243"/>
      <c r="Y850" s="243"/>
      <c r="Z850" s="243"/>
      <c r="AA850" s="243"/>
      <c r="AB850" s="243"/>
      <c r="AC850" s="243"/>
      <c r="AD850" s="243"/>
      <c r="AE850" s="243"/>
    </row>
    <row r="851">
      <c r="K851" s="237"/>
      <c r="P851" s="242"/>
      <c r="Q851" s="207"/>
      <c r="U851" s="243"/>
      <c r="V851" s="243"/>
      <c r="W851" s="243"/>
      <c r="X851" s="243"/>
      <c r="Y851" s="243"/>
      <c r="Z851" s="243"/>
      <c r="AA851" s="243"/>
      <c r="AB851" s="243"/>
      <c r="AC851" s="243"/>
      <c r="AD851" s="243"/>
      <c r="AE851" s="243"/>
    </row>
    <row r="852">
      <c r="K852" s="237"/>
      <c r="P852" s="242"/>
      <c r="Q852" s="207"/>
      <c r="U852" s="243"/>
      <c r="V852" s="243"/>
      <c r="W852" s="243"/>
      <c r="X852" s="243"/>
      <c r="Y852" s="243"/>
      <c r="Z852" s="243"/>
      <c r="AA852" s="243"/>
      <c r="AB852" s="243"/>
      <c r="AC852" s="243"/>
      <c r="AD852" s="243"/>
      <c r="AE852" s="243"/>
    </row>
    <row r="853">
      <c r="K853" s="237"/>
      <c r="P853" s="242"/>
      <c r="Q853" s="207"/>
      <c r="U853" s="243"/>
      <c r="V853" s="243"/>
      <c r="W853" s="243"/>
      <c r="X853" s="243"/>
      <c r="Y853" s="243"/>
      <c r="Z853" s="243"/>
      <c r="AA853" s="243"/>
      <c r="AB853" s="243"/>
      <c r="AC853" s="243"/>
      <c r="AD853" s="243"/>
      <c r="AE853" s="243"/>
    </row>
    <row r="854">
      <c r="K854" s="237"/>
      <c r="P854" s="242"/>
      <c r="Q854" s="207"/>
      <c r="U854" s="243"/>
      <c r="V854" s="243"/>
      <c r="W854" s="243"/>
      <c r="X854" s="243"/>
      <c r="Y854" s="243"/>
      <c r="Z854" s="243"/>
      <c r="AA854" s="243"/>
      <c r="AB854" s="243"/>
      <c r="AC854" s="243"/>
      <c r="AD854" s="243"/>
      <c r="AE854" s="243"/>
    </row>
    <row r="855">
      <c r="K855" s="237"/>
      <c r="P855" s="242"/>
      <c r="Q855" s="207"/>
      <c r="U855" s="243"/>
      <c r="V855" s="243"/>
      <c r="W855" s="243"/>
      <c r="X855" s="243"/>
      <c r="Y855" s="243"/>
      <c r="Z855" s="243"/>
      <c r="AA855" s="243"/>
      <c r="AB855" s="243"/>
      <c r="AC855" s="243"/>
      <c r="AD855" s="243"/>
      <c r="AE855" s="243"/>
    </row>
    <row r="856">
      <c r="K856" s="237"/>
      <c r="P856" s="242"/>
      <c r="Q856" s="207"/>
      <c r="U856" s="243"/>
      <c r="V856" s="243"/>
      <c r="W856" s="243"/>
      <c r="X856" s="243"/>
      <c r="Y856" s="243"/>
      <c r="Z856" s="243"/>
      <c r="AA856" s="243"/>
      <c r="AB856" s="243"/>
      <c r="AC856" s="243"/>
      <c r="AD856" s="243"/>
      <c r="AE856" s="243"/>
    </row>
    <row r="857">
      <c r="K857" s="237"/>
      <c r="P857" s="242"/>
      <c r="Q857" s="207"/>
      <c r="U857" s="243"/>
      <c r="V857" s="243"/>
      <c r="W857" s="243"/>
      <c r="X857" s="243"/>
      <c r="Y857" s="243"/>
      <c r="Z857" s="243"/>
      <c r="AA857" s="243"/>
      <c r="AB857" s="243"/>
      <c r="AC857" s="243"/>
      <c r="AD857" s="243"/>
      <c r="AE857" s="243"/>
    </row>
    <row r="858">
      <c r="K858" s="237"/>
      <c r="P858" s="242"/>
      <c r="Q858" s="207"/>
      <c r="U858" s="243"/>
      <c r="V858" s="243"/>
      <c r="W858" s="243"/>
      <c r="X858" s="243"/>
      <c r="Y858" s="243"/>
      <c r="Z858" s="243"/>
      <c r="AA858" s="243"/>
      <c r="AB858" s="243"/>
      <c r="AC858" s="243"/>
      <c r="AD858" s="243"/>
      <c r="AE858" s="243"/>
    </row>
    <row r="859">
      <c r="K859" s="237"/>
      <c r="P859" s="242"/>
      <c r="Q859" s="207"/>
      <c r="U859" s="243"/>
      <c r="V859" s="243"/>
      <c r="W859" s="243"/>
      <c r="X859" s="243"/>
      <c r="Y859" s="243"/>
      <c r="Z859" s="243"/>
      <c r="AA859" s="243"/>
      <c r="AB859" s="243"/>
      <c r="AC859" s="243"/>
      <c r="AD859" s="243"/>
      <c r="AE859" s="243"/>
    </row>
    <row r="860">
      <c r="K860" s="237"/>
      <c r="P860" s="242"/>
      <c r="Q860" s="207"/>
      <c r="U860" s="243"/>
      <c r="V860" s="243"/>
      <c r="W860" s="243"/>
      <c r="X860" s="243"/>
      <c r="Y860" s="243"/>
      <c r="Z860" s="243"/>
      <c r="AA860" s="243"/>
      <c r="AB860" s="243"/>
      <c r="AC860" s="243"/>
      <c r="AD860" s="243"/>
      <c r="AE860" s="243"/>
    </row>
    <row r="861">
      <c r="K861" s="237"/>
      <c r="P861" s="242"/>
      <c r="Q861" s="207"/>
      <c r="U861" s="243"/>
      <c r="V861" s="243"/>
      <c r="W861" s="243"/>
      <c r="X861" s="243"/>
      <c r="Y861" s="243"/>
      <c r="Z861" s="243"/>
      <c r="AA861" s="243"/>
      <c r="AB861" s="243"/>
      <c r="AC861" s="243"/>
      <c r="AD861" s="243"/>
      <c r="AE861" s="243"/>
    </row>
    <row r="862">
      <c r="K862" s="237"/>
      <c r="P862" s="242"/>
      <c r="Q862" s="207"/>
      <c r="U862" s="243"/>
      <c r="V862" s="243"/>
      <c r="W862" s="243"/>
      <c r="X862" s="243"/>
      <c r="Y862" s="243"/>
      <c r="Z862" s="243"/>
      <c r="AA862" s="243"/>
      <c r="AB862" s="243"/>
      <c r="AC862" s="243"/>
      <c r="AD862" s="243"/>
      <c r="AE862" s="243"/>
    </row>
    <row r="863">
      <c r="K863" s="237"/>
      <c r="P863" s="242"/>
      <c r="Q863" s="207"/>
      <c r="U863" s="243"/>
      <c r="V863" s="243"/>
      <c r="W863" s="243"/>
      <c r="X863" s="243"/>
      <c r="Y863" s="243"/>
      <c r="Z863" s="243"/>
      <c r="AA863" s="243"/>
      <c r="AB863" s="243"/>
      <c r="AC863" s="243"/>
      <c r="AD863" s="243"/>
      <c r="AE863" s="243"/>
    </row>
    <row r="864">
      <c r="P864" s="242"/>
      <c r="Q864" s="207"/>
      <c r="U864" s="243"/>
      <c r="V864" s="243"/>
      <c r="W864" s="243"/>
      <c r="X864" s="243"/>
      <c r="Y864" s="243"/>
      <c r="Z864" s="243"/>
      <c r="AA864" s="243"/>
      <c r="AB864" s="243"/>
      <c r="AC864" s="243"/>
      <c r="AD864" s="243"/>
      <c r="AE864" s="243"/>
    </row>
    <row r="865">
      <c r="P865" s="242"/>
      <c r="Q865" s="207"/>
      <c r="U865" s="243"/>
      <c r="V865" s="243"/>
      <c r="W865" s="243"/>
      <c r="X865" s="243"/>
      <c r="Y865" s="243"/>
      <c r="Z865" s="243"/>
      <c r="AA865" s="243"/>
      <c r="AB865" s="243"/>
      <c r="AC865" s="243"/>
      <c r="AD865" s="243"/>
      <c r="AE865" s="243"/>
    </row>
    <row r="866">
      <c r="P866" s="242"/>
      <c r="Q866" s="207"/>
      <c r="U866" s="243"/>
      <c r="V866" s="243"/>
      <c r="W866" s="243"/>
      <c r="X866" s="243"/>
      <c r="Y866" s="243"/>
      <c r="Z866" s="243"/>
      <c r="AA866" s="243"/>
      <c r="AB866" s="243"/>
      <c r="AC866" s="243"/>
      <c r="AD866" s="243"/>
      <c r="AE866" s="243"/>
    </row>
    <row r="867">
      <c r="P867" s="242"/>
      <c r="Q867" s="207"/>
      <c r="U867" s="243"/>
      <c r="V867" s="243"/>
      <c r="W867" s="243"/>
      <c r="X867" s="243"/>
      <c r="Y867" s="243"/>
      <c r="Z867" s="243"/>
      <c r="AA867" s="243"/>
      <c r="AB867" s="243"/>
      <c r="AC867" s="243"/>
      <c r="AD867" s="243"/>
      <c r="AE867" s="243"/>
    </row>
    <row r="868">
      <c r="P868" s="242"/>
      <c r="Q868" s="207"/>
      <c r="U868" s="243"/>
      <c r="V868" s="243"/>
      <c r="W868" s="243"/>
      <c r="X868" s="243"/>
      <c r="Y868" s="243"/>
      <c r="Z868" s="243"/>
      <c r="AA868" s="243"/>
      <c r="AB868" s="243"/>
      <c r="AC868" s="243"/>
      <c r="AD868" s="243"/>
      <c r="AE868" s="243"/>
    </row>
    <row r="869">
      <c r="P869" s="242"/>
      <c r="Q869" s="207"/>
      <c r="U869" s="243"/>
      <c r="V869" s="243"/>
      <c r="W869" s="243"/>
      <c r="X869" s="243"/>
      <c r="Y869" s="243"/>
      <c r="Z869" s="243"/>
      <c r="AA869" s="243"/>
      <c r="AB869" s="243"/>
      <c r="AC869" s="243"/>
      <c r="AD869" s="243"/>
      <c r="AE869" s="243"/>
    </row>
    <row r="870">
      <c r="P870" s="242"/>
      <c r="Q870" s="207"/>
      <c r="U870" s="243"/>
      <c r="V870" s="243"/>
      <c r="W870" s="243"/>
      <c r="X870" s="243"/>
      <c r="Y870" s="243"/>
      <c r="Z870" s="243"/>
      <c r="AA870" s="243"/>
      <c r="AB870" s="243"/>
      <c r="AC870" s="243"/>
      <c r="AD870" s="243"/>
      <c r="AE870" s="243"/>
    </row>
    <row r="871">
      <c r="P871" s="242"/>
      <c r="Q871" s="207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</row>
    <row r="872">
      <c r="P872" s="242"/>
      <c r="Q872" s="207"/>
      <c r="U872" s="243"/>
      <c r="V872" s="243"/>
      <c r="W872" s="243"/>
      <c r="X872" s="243"/>
      <c r="Y872" s="243"/>
      <c r="Z872" s="243"/>
      <c r="AA872" s="243"/>
      <c r="AB872" s="243"/>
      <c r="AC872" s="243"/>
      <c r="AD872" s="243"/>
      <c r="AE872" s="243"/>
    </row>
    <row r="873">
      <c r="P873" s="242"/>
      <c r="Q873" s="207"/>
      <c r="U873" s="243"/>
      <c r="V873" s="243"/>
      <c r="W873" s="243"/>
      <c r="X873" s="243"/>
      <c r="Y873" s="243"/>
      <c r="Z873" s="243"/>
      <c r="AA873" s="243"/>
      <c r="AB873" s="243"/>
      <c r="AC873" s="243"/>
      <c r="AD873" s="243"/>
      <c r="AE873" s="243"/>
    </row>
    <row r="874">
      <c r="P874" s="242"/>
      <c r="Q874" s="207"/>
      <c r="U874" s="243"/>
      <c r="V874" s="243"/>
      <c r="W874" s="243"/>
      <c r="X874" s="243"/>
      <c r="Y874" s="243"/>
      <c r="Z874" s="243"/>
      <c r="AA874" s="243"/>
      <c r="AB874" s="243"/>
      <c r="AC874" s="243"/>
      <c r="AD874" s="243"/>
      <c r="AE874" s="243"/>
    </row>
    <row r="875">
      <c r="P875" s="242"/>
      <c r="Q875" s="207"/>
      <c r="U875" s="243"/>
      <c r="V875" s="243"/>
      <c r="W875" s="243"/>
      <c r="X875" s="243"/>
      <c r="Y875" s="243"/>
      <c r="Z875" s="243"/>
      <c r="AA875" s="243"/>
      <c r="AB875" s="243"/>
      <c r="AC875" s="243"/>
      <c r="AD875" s="243"/>
      <c r="AE875" s="243"/>
    </row>
    <row r="876">
      <c r="P876" s="242"/>
      <c r="Q876" s="207"/>
      <c r="U876" s="243"/>
      <c r="V876" s="243"/>
      <c r="W876" s="243"/>
      <c r="X876" s="243"/>
      <c r="Y876" s="243"/>
      <c r="Z876" s="243"/>
      <c r="AA876" s="243"/>
      <c r="AB876" s="243"/>
      <c r="AC876" s="243"/>
      <c r="AD876" s="243"/>
      <c r="AE876" s="243"/>
    </row>
    <row r="877">
      <c r="P877" s="242"/>
      <c r="Q877" s="207"/>
      <c r="U877" s="243"/>
      <c r="V877" s="243"/>
      <c r="W877" s="243"/>
      <c r="X877" s="243"/>
      <c r="Y877" s="243"/>
      <c r="Z877" s="243"/>
      <c r="AA877" s="243"/>
      <c r="AB877" s="243"/>
      <c r="AC877" s="243"/>
      <c r="AD877" s="243"/>
      <c r="AE877" s="243"/>
    </row>
    <row r="878">
      <c r="P878" s="242"/>
      <c r="Q878" s="207"/>
      <c r="U878" s="243"/>
      <c r="V878" s="243"/>
      <c r="W878" s="243"/>
      <c r="X878" s="243"/>
      <c r="Y878" s="243"/>
      <c r="Z878" s="243"/>
      <c r="AA878" s="243"/>
      <c r="AB878" s="243"/>
      <c r="AC878" s="243"/>
      <c r="AD878" s="243"/>
      <c r="AE878" s="243"/>
    </row>
    <row r="879">
      <c r="P879" s="242"/>
      <c r="Q879" s="207"/>
      <c r="U879" s="243"/>
      <c r="V879" s="243"/>
      <c r="W879" s="243"/>
      <c r="X879" s="243"/>
      <c r="Y879" s="243"/>
      <c r="Z879" s="243"/>
      <c r="AA879" s="243"/>
      <c r="AB879" s="243"/>
      <c r="AC879" s="243"/>
      <c r="AD879" s="243"/>
      <c r="AE879" s="243"/>
    </row>
    <row r="880">
      <c r="P880" s="242"/>
      <c r="Q880" s="207"/>
      <c r="U880" s="243"/>
      <c r="V880" s="243"/>
      <c r="W880" s="243"/>
      <c r="X880" s="243"/>
      <c r="Y880" s="243"/>
      <c r="Z880" s="243"/>
      <c r="AA880" s="243"/>
      <c r="AB880" s="243"/>
      <c r="AC880" s="243"/>
      <c r="AD880" s="243"/>
      <c r="AE880" s="243"/>
    </row>
    <row r="881">
      <c r="P881" s="242"/>
      <c r="Q881" s="207"/>
      <c r="U881" s="243"/>
      <c r="V881" s="243"/>
      <c r="W881" s="243"/>
      <c r="X881" s="243"/>
      <c r="Y881" s="243"/>
      <c r="Z881" s="243"/>
      <c r="AA881" s="243"/>
      <c r="AB881" s="243"/>
      <c r="AC881" s="243"/>
      <c r="AD881" s="243"/>
      <c r="AE881" s="243"/>
    </row>
    <row r="882">
      <c r="P882" s="242"/>
      <c r="Q882" s="207"/>
      <c r="U882" s="243"/>
      <c r="V882" s="243"/>
      <c r="W882" s="243"/>
      <c r="X882" s="243"/>
      <c r="Y882" s="243"/>
      <c r="Z882" s="243"/>
      <c r="AA882" s="243"/>
      <c r="AB882" s="243"/>
      <c r="AC882" s="243"/>
      <c r="AD882" s="243"/>
      <c r="AE882" s="243"/>
    </row>
    <row r="883">
      <c r="P883" s="242"/>
      <c r="Q883" s="207"/>
      <c r="U883" s="243"/>
      <c r="V883" s="243"/>
      <c r="W883" s="243"/>
      <c r="X883" s="243"/>
      <c r="Y883" s="243"/>
      <c r="Z883" s="243"/>
      <c r="AA883" s="243"/>
      <c r="AB883" s="243"/>
      <c r="AC883" s="243"/>
      <c r="AD883" s="243"/>
      <c r="AE883" s="243"/>
    </row>
    <row r="884">
      <c r="P884" s="242"/>
      <c r="Q884" s="207"/>
      <c r="U884" s="243"/>
      <c r="V884" s="243"/>
      <c r="W884" s="243"/>
      <c r="X884" s="243"/>
      <c r="Y884" s="243"/>
      <c r="Z884" s="243"/>
      <c r="AA884" s="243"/>
      <c r="AB884" s="243"/>
      <c r="AC884" s="243"/>
      <c r="AD884" s="243"/>
      <c r="AE884" s="243"/>
    </row>
    <row r="885">
      <c r="P885" s="242"/>
      <c r="Q885" s="207"/>
      <c r="U885" s="243"/>
      <c r="V885" s="243"/>
      <c r="W885" s="243"/>
      <c r="X885" s="243"/>
      <c r="Y885" s="243"/>
      <c r="Z885" s="243"/>
      <c r="AA885" s="243"/>
      <c r="AB885" s="243"/>
      <c r="AC885" s="243"/>
      <c r="AD885" s="243"/>
      <c r="AE885" s="243"/>
    </row>
    <row r="886">
      <c r="P886" s="242"/>
      <c r="Q886" s="207"/>
      <c r="U886" s="243"/>
      <c r="V886" s="243"/>
      <c r="W886" s="243"/>
      <c r="X886" s="243"/>
      <c r="Y886" s="243"/>
      <c r="Z886" s="243"/>
      <c r="AA886" s="243"/>
      <c r="AB886" s="243"/>
      <c r="AC886" s="243"/>
      <c r="AD886" s="243"/>
      <c r="AE886" s="243"/>
    </row>
    <row r="887">
      <c r="P887" s="242"/>
      <c r="Q887" s="207"/>
      <c r="U887" s="243"/>
      <c r="V887" s="243"/>
      <c r="W887" s="243"/>
      <c r="X887" s="243"/>
      <c r="Y887" s="243"/>
      <c r="Z887" s="243"/>
      <c r="AA887" s="243"/>
      <c r="AB887" s="243"/>
      <c r="AC887" s="243"/>
      <c r="AD887" s="243"/>
      <c r="AE887" s="243"/>
    </row>
    <row r="888">
      <c r="P888" s="242"/>
      <c r="Q888" s="207"/>
      <c r="U888" s="243"/>
      <c r="V888" s="243"/>
      <c r="W888" s="243"/>
      <c r="X888" s="243"/>
      <c r="Y888" s="243"/>
      <c r="Z888" s="243"/>
      <c r="AA888" s="243"/>
      <c r="AB888" s="243"/>
      <c r="AC888" s="243"/>
      <c r="AD888" s="243"/>
      <c r="AE888" s="243"/>
    </row>
    <row r="889">
      <c r="P889" s="242"/>
      <c r="Q889" s="207"/>
      <c r="U889" s="243"/>
      <c r="V889" s="243"/>
      <c r="W889" s="243"/>
      <c r="X889" s="243"/>
      <c r="Y889" s="243"/>
      <c r="Z889" s="243"/>
      <c r="AA889" s="243"/>
      <c r="AB889" s="243"/>
      <c r="AC889" s="243"/>
      <c r="AD889" s="243"/>
      <c r="AE889" s="243"/>
    </row>
    <row r="890">
      <c r="P890" s="242"/>
      <c r="Q890" s="207"/>
      <c r="U890" s="243"/>
      <c r="V890" s="243"/>
      <c r="W890" s="243"/>
      <c r="X890" s="243"/>
      <c r="Y890" s="243"/>
      <c r="Z890" s="243"/>
      <c r="AA890" s="243"/>
      <c r="AB890" s="243"/>
      <c r="AC890" s="243"/>
      <c r="AD890" s="243"/>
      <c r="AE890" s="243"/>
    </row>
    <row r="891">
      <c r="P891" s="242"/>
      <c r="Q891" s="207"/>
      <c r="U891" s="243"/>
      <c r="V891" s="243"/>
      <c r="W891" s="243"/>
      <c r="X891" s="243"/>
      <c r="Y891" s="243"/>
      <c r="Z891" s="243"/>
      <c r="AA891" s="243"/>
      <c r="AB891" s="243"/>
      <c r="AC891" s="243"/>
      <c r="AD891" s="243"/>
      <c r="AE891" s="243"/>
    </row>
    <row r="892">
      <c r="P892" s="242"/>
      <c r="Q892" s="207"/>
      <c r="U892" s="243"/>
      <c r="V892" s="243"/>
      <c r="W892" s="243"/>
      <c r="X892" s="243"/>
      <c r="Y892" s="243"/>
      <c r="Z892" s="243"/>
      <c r="AA892" s="243"/>
      <c r="AB892" s="243"/>
      <c r="AC892" s="243"/>
      <c r="AD892" s="243"/>
      <c r="AE892" s="243"/>
    </row>
    <row r="893">
      <c r="P893" s="242"/>
      <c r="Q893" s="207"/>
      <c r="U893" s="243"/>
      <c r="V893" s="243"/>
      <c r="W893" s="243"/>
      <c r="X893" s="243"/>
      <c r="Y893" s="243"/>
      <c r="Z893" s="243"/>
      <c r="AA893" s="243"/>
      <c r="AB893" s="243"/>
      <c r="AC893" s="243"/>
      <c r="AD893" s="243"/>
      <c r="AE893" s="243"/>
    </row>
    <row r="894">
      <c r="P894" s="242"/>
      <c r="Q894" s="207"/>
      <c r="U894" s="243"/>
      <c r="V894" s="243"/>
      <c r="W894" s="243"/>
      <c r="X894" s="243"/>
      <c r="Y894" s="243"/>
      <c r="Z894" s="243"/>
      <c r="AA894" s="243"/>
      <c r="AB894" s="243"/>
      <c r="AC894" s="243"/>
      <c r="AD894" s="243"/>
      <c r="AE894" s="243"/>
    </row>
    <row r="895">
      <c r="P895" s="242"/>
      <c r="Q895" s="207"/>
      <c r="U895" s="243"/>
      <c r="V895" s="243"/>
      <c r="W895" s="243"/>
      <c r="X895" s="243"/>
      <c r="Y895" s="243"/>
      <c r="Z895" s="243"/>
      <c r="AA895" s="243"/>
      <c r="AB895" s="243"/>
      <c r="AC895" s="243"/>
      <c r="AD895" s="243"/>
      <c r="AE895" s="243"/>
    </row>
    <row r="896">
      <c r="P896" s="242"/>
      <c r="Q896" s="207"/>
      <c r="U896" s="243"/>
      <c r="V896" s="243"/>
      <c r="W896" s="243"/>
      <c r="X896" s="243"/>
      <c r="Y896" s="243"/>
      <c r="Z896" s="243"/>
      <c r="AA896" s="243"/>
      <c r="AB896" s="243"/>
      <c r="AC896" s="243"/>
      <c r="AD896" s="243"/>
      <c r="AE896" s="243"/>
    </row>
    <row r="897">
      <c r="P897" s="242"/>
      <c r="Q897" s="207"/>
      <c r="U897" s="243"/>
      <c r="V897" s="243"/>
      <c r="W897" s="243"/>
      <c r="X897" s="243"/>
      <c r="Y897" s="243"/>
      <c r="Z897" s="243"/>
      <c r="AA897" s="243"/>
      <c r="AB897" s="243"/>
      <c r="AC897" s="243"/>
      <c r="AD897" s="243"/>
      <c r="AE897" s="243"/>
    </row>
    <row r="898">
      <c r="P898" s="242"/>
      <c r="Q898" s="207"/>
      <c r="U898" s="243"/>
      <c r="V898" s="243"/>
      <c r="W898" s="243"/>
      <c r="X898" s="243"/>
      <c r="Y898" s="243"/>
      <c r="Z898" s="243"/>
      <c r="AA898" s="243"/>
      <c r="AB898" s="243"/>
      <c r="AC898" s="243"/>
      <c r="AD898" s="243"/>
      <c r="AE898" s="243"/>
    </row>
    <row r="899">
      <c r="P899" s="242"/>
      <c r="Q899" s="207"/>
      <c r="U899" s="243"/>
      <c r="V899" s="243"/>
      <c r="W899" s="243"/>
      <c r="X899" s="243"/>
      <c r="Y899" s="243"/>
      <c r="Z899" s="243"/>
      <c r="AA899" s="243"/>
      <c r="AB899" s="243"/>
      <c r="AC899" s="243"/>
      <c r="AD899" s="243"/>
      <c r="AE899" s="243"/>
    </row>
    <row r="900">
      <c r="P900" s="242"/>
      <c r="Q900" s="207"/>
      <c r="U900" s="243"/>
      <c r="V900" s="243"/>
      <c r="W900" s="243"/>
      <c r="X900" s="243"/>
      <c r="Y900" s="243"/>
      <c r="Z900" s="243"/>
      <c r="AA900" s="243"/>
      <c r="AB900" s="243"/>
      <c r="AC900" s="243"/>
      <c r="AD900" s="243"/>
      <c r="AE900" s="243"/>
    </row>
    <row r="901">
      <c r="P901" s="242"/>
      <c r="Q901" s="207"/>
      <c r="U901" s="243"/>
      <c r="V901" s="243"/>
      <c r="W901" s="243"/>
      <c r="X901" s="243"/>
      <c r="Y901" s="243"/>
      <c r="Z901" s="243"/>
      <c r="AA901" s="243"/>
      <c r="AB901" s="243"/>
      <c r="AC901" s="243"/>
      <c r="AD901" s="243"/>
      <c r="AE901" s="243"/>
    </row>
    <row r="902">
      <c r="P902" s="242"/>
      <c r="Q902" s="207"/>
      <c r="U902" s="243"/>
      <c r="V902" s="243"/>
      <c r="W902" s="243"/>
      <c r="X902" s="243"/>
      <c r="Y902" s="243"/>
      <c r="Z902" s="243"/>
      <c r="AA902" s="243"/>
      <c r="AB902" s="243"/>
      <c r="AC902" s="243"/>
      <c r="AD902" s="243"/>
      <c r="AE902" s="243"/>
    </row>
    <row r="903">
      <c r="P903" s="242"/>
      <c r="Q903" s="207"/>
      <c r="U903" s="243"/>
      <c r="V903" s="243"/>
      <c r="W903" s="243"/>
      <c r="X903" s="243"/>
      <c r="Y903" s="243"/>
      <c r="Z903" s="243"/>
      <c r="AA903" s="243"/>
      <c r="AB903" s="243"/>
      <c r="AC903" s="243"/>
      <c r="AD903" s="243"/>
      <c r="AE903" s="243"/>
    </row>
    <row r="904">
      <c r="P904" s="242"/>
      <c r="Q904" s="207"/>
      <c r="U904" s="243"/>
      <c r="V904" s="243"/>
      <c r="W904" s="243"/>
      <c r="X904" s="243"/>
      <c r="Y904" s="243"/>
      <c r="Z904" s="243"/>
      <c r="AA904" s="243"/>
      <c r="AB904" s="243"/>
      <c r="AC904" s="243"/>
      <c r="AD904" s="243"/>
      <c r="AE904" s="243"/>
    </row>
    <row r="905">
      <c r="P905" s="242"/>
      <c r="Q905" s="207"/>
      <c r="U905" s="243"/>
      <c r="V905" s="243"/>
      <c r="W905" s="243"/>
      <c r="X905" s="243"/>
      <c r="Y905" s="243"/>
      <c r="Z905" s="243"/>
      <c r="AA905" s="243"/>
      <c r="AB905" s="243"/>
      <c r="AC905" s="243"/>
      <c r="AD905" s="243"/>
      <c r="AE905" s="243"/>
    </row>
    <row r="906">
      <c r="P906" s="242"/>
      <c r="Q906" s="207"/>
      <c r="U906" s="243"/>
      <c r="V906" s="243"/>
      <c r="W906" s="243"/>
      <c r="X906" s="243"/>
      <c r="Y906" s="243"/>
      <c r="Z906" s="243"/>
      <c r="AA906" s="243"/>
      <c r="AB906" s="243"/>
      <c r="AC906" s="243"/>
      <c r="AD906" s="243"/>
      <c r="AE906" s="243"/>
    </row>
    <row r="907">
      <c r="P907" s="242"/>
      <c r="Q907" s="207"/>
      <c r="U907" s="243"/>
      <c r="V907" s="243"/>
      <c r="W907" s="243"/>
      <c r="X907" s="243"/>
      <c r="Y907" s="243"/>
      <c r="Z907" s="243"/>
      <c r="AA907" s="243"/>
      <c r="AB907" s="243"/>
      <c r="AC907" s="243"/>
      <c r="AD907" s="243"/>
      <c r="AE907" s="243"/>
    </row>
    <row r="908">
      <c r="P908" s="242"/>
      <c r="Q908" s="207"/>
      <c r="U908" s="243"/>
      <c r="V908" s="243"/>
      <c r="W908" s="243"/>
      <c r="X908" s="243"/>
      <c r="Y908" s="243"/>
      <c r="Z908" s="243"/>
      <c r="AA908" s="243"/>
      <c r="AB908" s="243"/>
      <c r="AC908" s="243"/>
      <c r="AD908" s="243"/>
      <c r="AE908" s="243"/>
    </row>
    <row r="909">
      <c r="P909" s="242"/>
      <c r="Q909" s="207"/>
      <c r="U909" s="243"/>
      <c r="V909" s="243"/>
      <c r="W909" s="243"/>
      <c r="X909" s="243"/>
      <c r="Y909" s="243"/>
      <c r="Z909" s="243"/>
      <c r="AA909" s="243"/>
      <c r="AB909" s="243"/>
      <c r="AC909" s="243"/>
      <c r="AD909" s="243"/>
      <c r="AE909" s="243"/>
    </row>
    <row r="910">
      <c r="P910" s="242"/>
      <c r="Q910" s="207"/>
      <c r="U910" s="243"/>
      <c r="V910" s="243"/>
      <c r="W910" s="243"/>
      <c r="X910" s="243"/>
      <c r="Y910" s="243"/>
      <c r="Z910" s="243"/>
      <c r="AA910" s="243"/>
      <c r="AB910" s="243"/>
      <c r="AC910" s="243"/>
      <c r="AD910" s="243"/>
      <c r="AE910" s="243"/>
    </row>
    <row r="911">
      <c r="P911" s="242"/>
      <c r="Q911" s="207"/>
      <c r="U911" s="243"/>
      <c r="V911" s="243"/>
      <c r="W911" s="243"/>
      <c r="X911" s="243"/>
      <c r="Y911" s="243"/>
      <c r="Z911" s="243"/>
      <c r="AA911" s="243"/>
      <c r="AB911" s="243"/>
      <c r="AC911" s="243"/>
      <c r="AD911" s="243"/>
      <c r="AE911" s="243"/>
    </row>
    <row r="912">
      <c r="P912" s="242"/>
      <c r="Q912" s="207"/>
      <c r="U912" s="243"/>
      <c r="V912" s="243"/>
      <c r="W912" s="243"/>
      <c r="X912" s="243"/>
      <c r="Y912" s="243"/>
      <c r="Z912" s="243"/>
      <c r="AA912" s="243"/>
      <c r="AB912" s="243"/>
      <c r="AC912" s="243"/>
      <c r="AD912" s="243"/>
      <c r="AE912" s="243"/>
    </row>
    <row r="913">
      <c r="P913" s="242"/>
      <c r="Q913" s="207"/>
      <c r="U913" s="243"/>
      <c r="V913" s="243"/>
      <c r="W913" s="243"/>
      <c r="X913" s="243"/>
      <c r="Y913" s="243"/>
      <c r="Z913" s="243"/>
      <c r="AA913" s="243"/>
      <c r="AB913" s="243"/>
      <c r="AC913" s="243"/>
      <c r="AD913" s="243"/>
      <c r="AE913" s="243"/>
    </row>
    <row r="914">
      <c r="P914" s="242"/>
      <c r="Q914" s="207"/>
      <c r="U914" s="243"/>
      <c r="V914" s="243"/>
      <c r="W914" s="243"/>
      <c r="X914" s="243"/>
      <c r="Y914" s="243"/>
      <c r="Z914" s="243"/>
      <c r="AA914" s="243"/>
      <c r="AB914" s="243"/>
      <c r="AC914" s="243"/>
      <c r="AD914" s="243"/>
      <c r="AE914" s="243"/>
    </row>
    <row r="915">
      <c r="P915" s="242"/>
      <c r="Q915" s="207"/>
      <c r="U915" s="243"/>
      <c r="V915" s="243"/>
      <c r="W915" s="243"/>
      <c r="X915" s="243"/>
      <c r="Y915" s="243"/>
      <c r="Z915" s="243"/>
      <c r="AA915" s="243"/>
      <c r="AB915" s="243"/>
      <c r="AC915" s="243"/>
      <c r="AD915" s="243"/>
      <c r="AE915" s="243"/>
    </row>
    <row r="916">
      <c r="P916" s="242"/>
      <c r="Q916" s="207"/>
      <c r="U916" s="243"/>
      <c r="V916" s="243"/>
      <c r="W916" s="243"/>
      <c r="X916" s="243"/>
      <c r="Y916" s="243"/>
      <c r="Z916" s="243"/>
      <c r="AA916" s="243"/>
      <c r="AB916" s="243"/>
      <c r="AC916" s="243"/>
      <c r="AD916" s="243"/>
      <c r="AE916" s="243"/>
    </row>
    <row r="917">
      <c r="P917" s="242"/>
      <c r="Q917" s="207"/>
      <c r="U917" s="243"/>
      <c r="V917" s="243"/>
      <c r="W917" s="243"/>
      <c r="X917" s="243"/>
      <c r="Y917" s="243"/>
      <c r="Z917" s="243"/>
      <c r="AA917" s="243"/>
      <c r="AB917" s="243"/>
      <c r="AC917" s="243"/>
      <c r="AD917" s="243"/>
      <c r="AE917" s="243"/>
    </row>
    <row r="918">
      <c r="P918" s="242"/>
      <c r="Q918" s="207"/>
      <c r="U918" s="243"/>
      <c r="V918" s="243"/>
      <c r="W918" s="243"/>
      <c r="X918" s="243"/>
      <c r="Y918" s="243"/>
      <c r="Z918" s="243"/>
      <c r="AA918" s="243"/>
      <c r="AB918" s="243"/>
      <c r="AC918" s="243"/>
      <c r="AD918" s="243"/>
      <c r="AE918" s="243"/>
    </row>
    <row r="919">
      <c r="P919" s="242"/>
      <c r="Q919" s="207"/>
      <c r="U919" s="243"/>
      <c r="V919" s="243"/>
      <c r="W919" s="243"/>
      <c r="X919" s="243"/>
      <c r="Y919" s="243"/>
      <c r="Z919" s="243"/>
      <c r="AA919" s="243"/>
      <c r="AB919" s="243"/>
      <c r="AC919" s="243"/>
      <c r="AD919" s="243"/>
      <c r="AE919" s="243"/>
    </row>
    <row r="920">
      <c r="P920" s="242"/>
      <c r="Q920" s="207"/>
      <c r="U920" s="243"/>
      <c r="V920" s="243"/>
      <c r="W920" s="243"/>
      <c r="X920" s="243"/>
      <c r="Y920" s="243"/>
      <c r="Z920" s="243"/>
      <c r="AA920" s="243"/>
      <c r="AB920" s="243"/>
      <c r="AC920" s="243"/>
      <c r="AD920" s="243"/>
      <c r="AE920" s="243"/>
    </row>
    <row r="921">
      <c r="P921" s="242"/>
      <c r="Q921" s="207"/>
      <c r="U921" s="243"/>
      <c r="V921" s="243"/>
      <c r="W921" s="243"/>
      <c r="X921" s="243"/>
      <c r="Y921" s="243"/>
      <c r="Z921" s="243"/>
      <c r="AA921" s="243"/>
      <c r="AB921" s="243"/>
      <c r="AC921" s="243"/>
      <c r="AD921" s="243"/>
      <c r="AE921" s="243"/>
    </row>
    <row r="922">
      <c r="P922" s="242"/>
      <c r="Q922" s="207"/>
      <c r="U922" s="243"/>
      <c r="V922" s="243"/>
      <c r="W922" s="243"/>
      <c r="X922" s="243"/>
      <c r="Y922" s="243"/>
      <c r="Z922" s="243"/>
      <c r="AA922" s="243"/>
      <c r="AB922" s="243"/>
      <c r="AC922" s="243"/>
      <c r="AD922" s="243"/>
      <c r="AE922" s="243"/>
    </row>
    <row r="923">
      <c r="P923" s="242"/>
      <c r="Q923" s="207"/>
      <c r="U923" s="243"/>
      <c r="V923" s="243"/>
      <c r="W923" s="243"/>
      <c r="X923" s="243"/>
      <c r="Y923" s="243"/>
      <c r="Z923" s="243"/>
      <c r="AA923" s="243"/>
      <c r="AB923" s="243"/>
      <c r="AC923" s="243"/>
      <c r="AD923" s="243"/>
      <c r="AE923" s="243"/>
    </row>
    <row r="924">
      <c r="P924" s="242"/>
      <c r="Q924" s="207"/>
      <c r="U924" s="243"/>
      <c r="V924" s="243"/>
      <c r="W924" s="243"/>
      <c r="X924" s="243"/>
      <c r="Y924" s="243"/>
      <c r="Z924" s="243"/>
      <c r="AA924" s="243"/>
      <c r="AB924" s="243"/>
      <c r="AC924" s="243"/>
      <c r="AD924" s="243"/>
      <c r="AE924" s="243"/>
    </row>
    <row r="925">
      <c r="P925" s="242"/>
      <c r="Q925" s="207"/>
      <c r="U925" s="243"/>
      <c r="V925" s="243"/>
      <c r="W925" s="243"/>
      <c r="X925" s="243"/>
      <c r="Y925" s="243"/>
      <c r="Z925" s="243"/>
      <c r="AA925" s="243"/>
      <c r="AB925" s="243"/>
      <c r="AC925" s="243"/>
      <c r="AD925" s="243"/>
      <c r="AE925" s="243"/>
    </row>
    <row r="926">
      <c r="P926" s="242"/>
      <c r="Q926" s="207"/>
      <c r="U926" s="243"/>
      <c r="V926" s="243"/>
      <c r="W926" s="243"/>
      <c r="X926" s="243"/>
      <c r="Y926" s="243"/>
      <c r="Z926" s="243"/>
      <c r="AA926" s="243"/>
      <c r="AB926" s="243"/>
      <c r="AC926" s="243"/>
      <c r="AD926" s="243"/>
      <c r="AE926" s="243"/>
    </row>
    <row r="927">
      <c r="P927" s="242"/>
      <c r="Q927" s="207"/>
      <c r="U927" s="243"/>
      <c r="V927" s="243"/>
      <c r="W927" s="243"/>
      <c r="X927" s="243"/>
      <c r="Y927" s="243"/>
      <c r="Z927" s="243"/>
      <c r="AA927" s="243"/>
      <c r="AB927" s="243"/>
      <c r="AC927" s="243"/>
      <c r="AD927" s="243"/>
      <c r="AE927" s="243"/>
    </row>
    <row r="928">
      <c r="P928" s="242"/>
      <c r="Q928" s="207"/>
      <c r="U928" s="243"/>
      <c r="V928" s="243"/>
      <c r="W928" s="243"/>
      <c r="X928" s="243"/>
      <c r="Y928" s="243"/>
      <c r="Z928" s="243"/>
      <c r="AA928" s="243"/>
      <c r="AB928" s="243"/>
      <c r="AC928" s="243"/>
      <c r="AD928" s="243"/>
      <c r="AE928" s="243"/>
    </row>
    <row r="929">
      <c r="P929" s="242"/>
      <c r="Q929" s="207"/>
      <c r="U929" s="243"/>
      <c r="V929" s="243"/>
      <c r="W929" s="243"/>
      <c r="X929" s="243"/>
      <c r="Y929" s="243"/>
      <c r="Z929" s="243"/>
      <c r="AA929" s="243"/>
      <c r="AB929" s="243"/>
      <c r="AC929" s="243"/>
      <c r="AD929" s="243"/>
      <c r="AE929" s="243"/>
    </row>
    <row r="930">
      <c r="P930" s="242"/>
      <c r="Q930" s="207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</row>
    <row r="931">
      <c r="P931" s="242"/>
      <c r="Q931" s="207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</row>
    <row r="932">
      <c r="P932" s="242"/>
      <c r="Q932" s="207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</row>
    <row r="933">
      <c r="P933" s="242"/>
      <c r="Q933" s="207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</row>
    <row r="934">
      <c r="P934" s="242"/>
      <c r="Q934" s="207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</row>
    <row r="935">
      <c r="P935" s="242"/>
      <c r="Q935" s="207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</row>
    <row r="936">
      <c r="P936" s="242"/>
      <c r="Q936" s="207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</row>
    <row r="937">
      <c r="P937" s="242"/>
      <c r="Q937" s="207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</row>
    <row r="938">
      <c r="P938" s="242"/>
      <c r="Q938" s="207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</row>
    <row r="939">
      <c r="P939" s="242"/>
      <c r="Q939" s="207"/>
      <c r="U939" s="243"/>
      <c r="V939" s="243"/>
      <c r="W939" s="243"/>
      <c r="X939" s="243"/>
      <c r="Y939" s="243"/>
      <c r="Z939" s="243"/>
      <c r="AA939" s="243"/>
      <c r="AB939" s="243"/>
      <c r="AC939" s="243"/>
      <c r="AD939" s="243"/>
      <c r="AE939" s="243"/>
    </row>
    <row r="940">
      <c r="P940" s="242"/>
      <c r="Q940" s="207"/>
      <c r="U940" s="243"/>
      <c r="V940" s="243"/>
      <c r="W940" s="243"/>
      <c r="X940" s="243"/>
      <c r="Y940" s="243"/>
      <c r="Z940" s="243"/>
      <c r="AA940" s="243"/>
      <c r="AB940" s="243"/>
      <c r="AC940" s="243"/>
      <c r="AD940" s="243"/>
      <c r="AE940" s="243"/>
    </row>
    <row r="941">
      <c r="P941" s="242"/>
      <c r="Q941" s="207"/>
      <c r="U941" s="243"/>
      <c r="V941" s="243"/>
      <c r="W941" s="243"/>
      <c r="X941" s="243"/>
      <c r="Y941" s="243"/>
      <c r="Z941" s="243"/>
      <c r="AA941" s="243"/>
      <c r="AB941" s="243"/>
      <c r="AC941" s="243"/>
      <c r="AD941" s="243"/>
      <c r="AE941" s="243"/>
    </row>
    <row r="942">
      <c r="P942" s="242"/>
      <c r="Q942" s="207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</row>
    <row r="943">
      <c r="P943" s="242"/>
      <c r="Q943" s="207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</row>
    <row r="944">
      <c r="P944" s="242"/>
      <c r="Q944" s="207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</row>
    <row r="945">
      <c r="P945" s="242"/>
      <c r="Q945" s="207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</row>
    <row r="946">
      <c r="P946" s="242"/>
      <c r="Q946" s="207"/>
      <c r="U946" s="243"/>
      <c r="V946" s="243"/>
      <c r="W946" s="243"/>
      <c r="X946" s="243"/>
      <c r="Y946" s="243"/>
      <c r="Z946" s="243"/>
      <c r="AA946" s="243"/>
      <c r="AB946" s="243"/>
      <c r="AC946" s="243"/>
      <c r="AD946" s="243"/>
      <c r="AE946" s="243"/>
    </row>
    <row r="947">
      <c r="P947" s="242"/>
      <c r="Q947" s="207"/>
      <c r="U947" s="243"/>
      <c r="V947" s="243"/>
      <c r="W947" s="243"/>
      <c r="X947" s="243"/>
      <c r="Y947" s="243"/>
      <c r="Z947" s="243"/>
      <c r="AA947" s="243"/>
      <c r="AB947" s="243"/>
      <c r="AC947" s="243"/>
      <c r="AD947" s="243"/>
      <c r="AE947" s="243"/>
    </row>
    <row r="948">
      <c r="P948" s="242"/>
      <c r="Q948" s="207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</row>
    <row r="949">
      <c r="P949" s="242"/>
      <c r="Q949" s="207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</row>
    <row r="950">
      <c r="P950" s="242"/>
      <c r="Q950" s="207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</row>
    <row r="951">
      <c r="P951" s="242"/>
      <c r="Q951" s="207"/>
      <c r="U951" s="243"/>
      <c r="V951" s="243"/>
      <c r="W951" s="243"/>
      <c r="X951" s="243"/>
      <c r="Y951" s="243"/>
      <c r="Z951" s="243"/>
      <c r="AA951" s="243"/>
      <c r="AB951" s="243"/>
      <c r="AC951" s="243"/>
      <c r="AD951" s="243"/>
      <c r="AE951" s="243"/>
    </row>
    <row r="952">
      <c r="P952" s="242"/>
      <c r="Q952" s="207"/>
      <c r="U952" s="243"/>
      <c r="V952" s="243"/>
      <c r="W952" s="243"/>
      <c r="X952" s="243"/>
      <c r="Y952" s="243"/>
      <c r="Z952" s="243"/>
      <c r="AA952" s="243"/>
      <c r="AB952" s="243"/>
      <c r="AC952" s="243"/>
      <c r="AD952" s="243"/>
      <c r="AE952" s="243"/>
    </row>
    <row r="953">
      <c r="P953" s="242"/>
      <c r="Q953" s="207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</row>
    <row r="954">
      <c r="P954" s="242"/>
      <c r="Q954" s="207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</row>
    <row r="955">
      <c r="P955" s="242"/>
      <c r="Q955" s="207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</row>
    <row r="956">
      <c r="P956" s="242"/>
      <c r="Q956" s="207"/>
      <c r="U956" s="243"/>
      <c r="V956" s="243"/>
      <c r="W956" s="243"/>
      <c r="X956" s="243"/>
      <c r="Y956" s="243"/>
      <c r="Z956" s="243"/>
      <c r="AA956" s="243"/>
      <c r="AB956" s="243"/>
      <c r="AC956" s="243"/>
      <c r="AD956" s="243"/>
      <c r="AE956" s="243"/>
    </row>
    <row r="957">
      <c r="P957" s="242"/>
      <c r="Q957" s="207"/>
      <c r="U957" s="243"/>
      <c r="V957" s="243"/>
      <c r="W957" s="243"/>
      <c r="X957" s="243"/>
      <c r="Y957" s="243"/>
      <c r="Z957" s="243"/>
      <c r="AA957" s="243"/>
      <c r="AB957" s="243"/>
      <c r="AC957" s="243"/>
      <c r="AD957" s="243"/>
      <c r="AE957" s="243"/>
    </row>
    <row r="958">
      <c r="P958" s="242"/>
      <c r="Q958" s="207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</row>
    <row r="959">
      <c r="P959" s="242"/>
      <c r="Q959" s="207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</row>
    <row r="960">
      <c r="P960" s="242"/>
      <c r="Q960" s="207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</row>
    <row r="961">
      <c r="P961" s="242"/>
      <c r="Q961" s="207"/>
      <c r="U961" s="243"/>
      <c r="V961" s="243"/>
      <c r="W961" s="243"/>
      <c r="X961" s="243"/>
      <c r="Y961" s="243"/>
      <c r="Z961" s="243"/>
      <c r="AA961" s="243"/>
      <c r="AB961" s="243"/>
      <c r="AC961" s="243"/>
      <c r="AD961" s="243"/>
      <c r="AE961" s="243"/>
    </row>
    <row r="962">
      <c r="P962" s="242"/>
      <c r="Q962" s="207"/>
      <c r="U962" s="243"/>
      <c r="V962" s="243"/>
      <c r="W962" s="243"/>
      <c r="X962" s="243"/>
      <c r="Y962" s="243"/>
      <c r="Z962" s="243"/>
      <c r="AA962" s="243"/>
      <c r="AB962" s="243"/>
      <c r="AC962" s="243"/>
      <c r="AD962" s="243"/>
      <c r="AE962" s="243"/>
    </row>
    <row r="963">
      <c r="P963" s="242"/>
      <c r="Q963" s="207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</row>
    <row r="964">
      <c r="P964" s="242"/>
      <c r="Q964" s="207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</row>
    <row r="965">
      <c r="P965" s="242"/>
      <c r="Q965" s="207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</row>
    <row r="966">
      <c r="P966" s="242"/>
      <c r="Q966" s="207"/>
      <c r="U966" s="243"/>
      <c r="V966" s="243"/>
      <c r="W966" s="243"/>
      <c r="X966" s="243"/>
      <c r="Y966" s="243"/>
      <c r="Z966" s="243"/>
      <c r="AA966" s="243"/>
      <c r="AB966" s="243"/>
      <c r="AC966" s="243"/>
      <c r="AD966" s="243"/>
      <c r="AE966" s="243"/>
    </row>
    <row r="967">
      <c r="P967" s="242"/>
      <c r="Q967" s="207"/>
      <c r="U967" s="243"/>
      <c r="V967" s="243"/>
      <c r="W967" s="243"/>
      <c r="X967" s="243"/>
      <c r="Y967" s="243"/>
      <c r="Z967" s="243"/>
      <c r="AA967" s="243"/>
      <c r="AB967" s="243"/>
      <c r="AC967" s="243"/>
      <c r="AD967" s="243"/>
      <c r="AE967" s="243"/>
    </row>
    <row r="968">
      <c r="P968" s="242"/>
      <c r="Q968" s="207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</row>
    <row r="969">
      <c r="P969" s="242"/>
      <c r="Q969" s="207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</row>
    <row r="970">
      <c r="P970" s="242"/>
      <c r="Q970" s="207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</row>
    <row r="971">
      <c r="P971" s="242"/>
      <c r="Q971" s="207"/>
      <c r="U971" s="243"/>
      <c r="V971" s="243"/>
      <c r="W971" s="243"/>
      <c r="X971" s="243"/>
      <c r="Y971" s="243"/>
      <c r="Z971" s="243"/>
      <c r="AA971" s="243"/>
      <c r="AB971" s="243"/>
      <c r="AC971" s="243"/>
      <c r="AD971" s="243"/>
      <c r="AE971" s="243"/>
    </row>
    <row r="972">
      <c r="P972" s="242"/>
      <c r="Q972" s="207"/>
      <c r="U972" s="243"/>
      <c r="V972" s="243"/>
      <c r="W972" s="243"/>
      <c r="X972" s="243"/>
      <c r="Y972" s="243"/>
      <c r="Z972" s="243"/>
      <c r="AA972" s="243"/>
      <c r="AB972" s="243"/>
      <c r="AC972" s="243"/>
      <c r="AD972" s="243"/>
      <c r="AE972" s="243"/>
    </row>
    <row r="973">
      <c r="P973" s="242"/>
      <c r="Q973" s="207"/>
      <c r="U973" s="243"/>
      <c r="V973" s="243"/>
      <c r="W973" s="243"/>
      <c r="X973" s="243"/>
      <c r="Y973" s="243"/>
      <c r="Z973" s="243"/>
      <c r="AA973" s="243"/>
      <c r="AB973" s="243"/>
      <c r="AC973" s="243"/>
      <c r="AD973" s="243"/>
      <c r="AE973" s="243"/>
    </row>
    <row r="974">
      <c r="P974" s="242"/>
      <c r="Q974" s="207"/>
      <c r="U974" s="243"/>
      <c r="V974" s="243"/>
      <c r="W974" s="243"/>
      <c r="X974" s="243"/>
      <c r="Y974" s="243"/>
      <c r="Z974" s="243"/>
      <c r="AA974" s="243"/>
      <c r="AB974" s="243"/>
      <c r="AC974" s="243"/>
      <c r="AD974" s="243"/>
      <c r="AE974" s="243"/>
    </row>
    <row r="975">
      <c r="P975" s="242"/>
      <c r="Q975" s="207"/>
      <c r="U975" s="243"/>
      <c r="V975" s="243"/>
      <c r="W975" s="243"/>
      <c r="X975" s="243"/>
      <c r="Y975" s="243"/>
      <c r="Z975" s="243"/>
      <c r="AA975" s="243"/>
      <c r="AB975" s="243"/>
      <c r="AC975" s="243"/>
      <c r="AD975" s="243"/>
      <c r="AE975" s="243"/>
    </row>
    <row r="976">
      <c r="P976" s="242"/>
      <c r="Q976" s="207"/>
      <c r="U976" s="243"/>
      <c r="V976" s="243"/>
      <c r="W976" s="243"/>
      <c r="X976" s="243"/>
      <c r="Y976" s="243"/>
      <c r="Z976" s="243"/>
      <c r="AA976" s="243"/>
      <c r="AB976" s="243"/>
      <c r="AC976" s="243"/>
      <c r="AD976" s="243"/>
      <c r="AE976" s="243"/>
    </row>
    <row r="977">
      <c r="P977" s="242"/>
      <c r="Q977" s="207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</row>
    <row r="978">
      <c r="P978" s="242"/>
      <c r="Q978" s="207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</row>
    <row r="979">
      <c r="P979" s="242"/>
      <c r="Q979" s="207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</row>
    <row r="980">
      <c r="P980" s="242"/>
      <c r="Q980" s="207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</row>
    <row r="981">
      <c r="P981" s="242"/>
      <c r="Q981" s="207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</row>
    <row r="982">
      <c r="P982" s="242"/>
      <c r="Q982" s="207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</row>
    <row r="983">
      <c r="P983" s="242"/>
      <c r="Q983" s="207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</row>
    <row r="984">
      <c r="P984" s="242"/>
      <c r="Q984" s="207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</row>
    <row r="985">
      <c r="P985" s="242"/>
      <c r="Q985" s="207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</row>
    <row r="986">
      <c r="P986" s="242"/>
      <c r="Q986" s="207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</row>
    <row r="987">
      <c r="P987" s="242"/>
      <c r="Q987" s="207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</row>
    <row r="988">
      <c r="P988" s="242"/>
      <c r="Q988" s="207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</row>
    <row r="989">
      <c r="P989" s="242"/>
      <c r="Q989" s="207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</row>
    <row r="990">
      <c r="P990" s="242"/>
      <c r="Q990" s="207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</row>
    <row r="991">
      <c r="P991" s="242"/>
      <c r="Q991" s="207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</row>
    <row r="992">
      <c r="P992" s="242"/>
      <c r="Q992" s="207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</row>
    <row r="993">
      <c r="P993" s="242"/>
      <c r="Q993" s="207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</row>
    <row r="994">
      <c r="P994" s="242"/>
      <c r="Q994" s="207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</row>
    <row r="995">
      <c r="P995" s="242"/>
      <c r="Q995" s="207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</row>
    <row r="996">
      <c r="P996" s="242"/>
      <c r="Q996" s="207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</row>
    <row r="997">
      <c r="P997" s="242"/>
      <c r="Q997" s="207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</row>
    <row r="998">
      <c r="P998" s="242"/>
      <c r="Q998" s="207"/>
      <c r="U998" s="243"/>
      <c r="V998" s="243"/>
      <c r="W998" s="243"/>
      <c r="X998" s="243"/>
      <c r="Y998" s="243"/>
      <c r="Z998" s="243"/>
      <c r="AA998" s="243"/>
      <c r="AB998" s="243"/>
      <c r="AC998" s="243"/>
      <c r="AD998" s="243"/>
      <c r="AE998" s="243"/>
    </row>
    <row r="999">
      <c r="P999" s="242"/>
      <c r="Q999" s="207"/>
      <c r="U999" s="243"/>
      <c r="V999" s="243"/>
      <c r="W999" s="243"/>
      <c r="X999" s="243"/>
      <c r="Y999" s="243"/>
      <c r="Z999" s="243"/>
      <c r="AA999" s="243"/>
      <c r="AB999" s="243"/>
      <c r="AC999" s="243"/>
      <c r="AD999" s="243"/>
      <c r="AE999" s="243"/>
    </row>
    <row r="1000">
      <c r="P1000" s="242"/>
      <c r="Q1000" s="207"/>
      <c r="U1000" s="243"/>
      <c r="V1000" s="243"/>
      <c r="W1000" s="243"/>
      <c r="X1000" s="243"/>
      <c r="Y1000" s="243"/>
      <c r="Z1000" s="243"/>
      <c r="AA1000" s="243"/>
      <c r="AB1000" s="243"/>
      <c r="AC1000" s="243"/>
      <c r="AD1000" s="243"/>
      <c r="AE1000" s="243"/>
    </row>
    <row r="1001">
      <c r="P1001" s="242"/>
      <c r="Q1001" s="207"/>
      <c r="U1001" s="243"/>
      <c r="V1001" s="243"/>
      <c r="W1001" s="243"/>
      <c r="X1001" s="243"/>
      <c r="Y1001" s="243"/>
      <c r="Z1001" s="243"/>
      <c r="AA1001" s="243"/>
      <c r="AB1001" s="243"/>
      <c r="AC1001" s="243"/>
      <c r="AD1001" s="243"/>
      <c r="AE1001" s="243"/>
    </row>
    <row r="1002">
      <c r="P1002" s="242"/>
      <c r="Q1002" s="207"/>
      <c r="U1002" s="243"/>
      <c r="V1002" s="243"/>
      <c r="W1002" s="243"/>
      <c r="X1002" s="243"/>
      <c r="Y1002" s="243"/>
      <c r="Z1002" s="243"/>
      <c r="AA1002" s="243"/>
      <c r="AB1002" s="243"/>
      <c r="AC1002" s="243"/>
      <c r="AD1002" s="243"/>
      <c r="AE1002" s="243"/>
    </row>
    <row r="1003">
      <c r="P1003" s="242"/>
      <c r="Q1003" s="207"/>
      <c r="U1003" s="243"/>
      <c r="V1003" s="243"/>
      <c r="W1003" s="243"/>
      <c r="X1003" s="243"/>
      <c r="Y1003" s="243"/>
      <c r="Z1003" s="243"/>
      <c r="AA1003" s="243"/>
      <c r="AB1003" s="243"/>
      <c r="AC1003" s="243"/>
      <c r="AD1003" s="243"/>
      <c r="AE1003" s="243"/>
    </row>
    <row r="1004">
      <c r="P1004" s="242"/>
      <c r="Q1004" s="207"/>
      <c r="U1004" s="243"/>
      <c r="V1004" s="243"/>
      <c r="W1004" s="243"/>
      <c r="X1004" s="243"/>
      <c r="Y1004" s="243"/>
      <c r="Z1004" s="243"/>
      <c r="AA1004" s="243"/>
      <c r="AB1004" s="243"/>
      <c r="AC1004" s="243"/>
      <c r="AD1004" s="243"/>
      <c r="AE1004" s="243"/>
    </row>
    <row r="1005">
      <c r="P1005" s="242"/>
      <c r="Q1005" s="207"/>
      <c r="U1005" s="243"/>
      <c r="V1005" s="243"/>
      <c r="W1005" s="243"/>
      <c r="X1005" s="243"/>
      <c r="Y1005" s="243"/>
      <c r="Z1005" s="243"/>
      <c r="AA1005" s="243"/>
      <c r="AB1005" s="243"/>
      <c r="AC1005" s="243"/>
      <c r="AD1005" s="243"/>
      <c r="AE1005" s="243"/>
    </row>
    <row r="1006">
      <c r="P1006" s="242"/>
      <c r="Q1006" s="207"/>
      <c r="U1006" s="243"/>
      <c r="V1006" s="243"/>
      <c r="W1006" s="243"/>
      <c r="X1006" s="243"/>
      <c r="Y1006" s="243"/>
      <c r="Z1006" s="243"/>
      <c r="AA1006" s="243"/>
      <c r="AB1006" s="243"/>
      <c r="AC1006" s="243"/>
      <c r="AD1006" s="243"/>
      <c r="AE1006" s="243"/>
    </row>
    <row r="1007">
      <c r="P1007" s="242"/>
      <c r="Q1007" s="207"/>
      <c r="U1007" s="243"/>
      <c r="V1007" s="243"/>
      <c r="W1007" s="243"/>
      <c r="X1007" s="243"/>
      <c r="Y1007" s="243"/>
      <c r="Z1007" s="243"/>
      <c r="AA1007" s="243"/>
      <c r="AB1007" s="243"/>
      <c r="AC1007" s="243"/>
      <c r="AD1007" s="243"/>
      <c r="AE1007" s="243"/>
    </row>
    <row r="1008">
      <c r="P1008" s="242"/>
      <c r="Q1008" s="207"/>
      <c r="U1008" s="243"/>
      <c r="V1008" s="243"/>
      <c r="W1008" s="243"/>
      <c r="X1008" s="243"/>
      <c r="Y1008" s="243"/>
      <c r="Z1008" s="243"/>
      <c r="AA1008" s="243"/>
      <c r="AB1008" s="243"/>
      <c r="AC1008" s="243"/>
      <c r="AD1008" s="243"/>
      <c r="AE1008" s="243"/>
    </row>
    <row r="1009">
      <c r="P1009" s="242"/>
      <c r="Q1009" s="207"/>
      <c r="U1009" s="243"/>
      <c r="V1009" s="243"/>
      <c r="W1009" s="243"/>
      <c r="X1009" s="243"/>
      <c r="Y1009" s="243"/>
      <c r="Z1009" s="243"/>
      <c r="AA1009" s="243"/>
      <c r="AB1009" s="243"/>
      <c r="AC1009" s="243"/>
      <c r="AD1009" s="243"/>
      <c r="AE1009" s="243"/>
    </row>
    <row r="1010">
      <c r="P1010" s="242"/>
      <c r="Q1010" s="207"/>
      <c r="U1010" s="243"/>
      <c r="V1010" s="243"/>
      <c r="W1010" s="243"/>
      <c r="X1010" s="243"/>
      <c r="Y1010" s="243"/>
      <c r="Z1010" s="243"/>
      <c r="AA1010" s="243"/>
      <c r="AB1010" s="243"/>
      <c r="AC1010" s="243"/>
      <c r="AD1010" s="243"/>
      <c r="AE1010" s="243"/>
    </row>
    <row r="1011">
      <c r="P1011" s="242"/>
      <c r="Q1011" s="207"/>
      <c r="U1011" s="243"/>
      <c r="V1011" s="243"/>
      <c r="W1011" s="243"/>
      <c r="X1011" s="243"/>
      <c r="Y1011" s="243"/>
      <c r="Z1011" s="243"/>
      <c r="AA1011" s="243"/>
      <c r="AB1011" s="243"/>
      <c r="AC1011" s="243"/>
      <c r="AD1011" s="243"/>
      <c r="AE1011" s="243"/>
    </row>
    <row r="1012">
      <c r="P1012" s="242"/>
      <c r="Q1012" s="207"/>
      <c r="U1012" s="243"/>
      <c r="V1012" s="243"/>
      <c r="W1012" s="243"/>
      <c r="X1012" s="243"/>
      <c r="Y1012" s="243"/>
      <c r="Z1012" s="243"/>
      <c r="AA1012" s="243"/>
      <c r="AB1012" s="243"/>
      <c r="AC1012" s="243"/>
      <c r="AD1012" s="243"/>
      <c r="AE1012" s="243"/>
    </row>
    <row r="1013">
      <c r="P1013" s="242"/>
      <c r="Q1013" s="207"/>
      <c r="U1013" s="243"/>
      <c r="V1013" s="243"/>
      <c r="W1013" s="243"/>
      <c r="X1013" s="243"/>
      <c r="Y1013" s="243"/>
      <c r="Z1013" s="243"/>
      <c r="AA1013" s="243"/>
      <c r="AB1013" s="243"/>
      <c r="AC1013" s="243"/>
      <c r="AD1013" s="243"/>
      <c r="AE1013" s="243"/>
    </row>
    <row r="1014">
      <c r="P1014" s="242"/>
      <c r="Q1014" s="207"/>
      <c r="U1014" s="243"/>
      <c r="V1014" s="243"/>
      <c r="W1014" s="243"/>
      <c r="X1014" s="243"/>
      <c r="Y1014" s="243"/>
      <c r="Z1014" s="243"/>
      <c r="AA1014" s="243"/>
      <c r="AB1014" s="243"/>
      <c r="AC1014" s="243"/>
      <c r="AD1014" s="243"/>
      <c r="AE1014" s="243"/>
    </row>
    <row r="1015">
      <c r="P1015" s="242"/>
      <c r="Q1015" s="207"/>
      <c r="U1015" s="243"/>
      <c r="V1015" s="243"/>
      <c r="W1015" s="243"/>
      <c r="X1015" s="243"/>
      <c r="Y1015" s="243"/>
      <c r="Z1015" s="243"/>
      <c r="AA1015" s="243"/>
      <c r="AB1015" s="243"/>
      <c r="AC1015" s="243"/>
      <c r="AD1015" s="243"/>
      <c r="AE1015" s="243"/>
    </row>
    <row r="1016">
      <c r="P1016" s="242"/>
      <c r="Q1016" s="207"/>
      <c r="U1016" s="243"/>
      <c r="V1016" s="243"/>
      <c r="W1016" s="243"/>
      <c r="X1016" s="243"/>
      <c r="Y1016" s="243"/>
      <c r="Z1016" s="243"/>
      <c r="AA1016" s="243"/>
      <c r="AB1016" s="243"/>
      <c r="AC1016" s="243"/>
      <c r="AD1016" s="243"/>
      <c r="AE1016" s="243"/>
    </row>
    <row r="1017">
      <c r="P1017" s="242"/>
      <c r="Q1017" s="207"/>
      <c r="U1017" s="243"/>
      <c r="V1017" s="243"/>
      <c r="W1017" s="243"/>
      <c r="X1017" s="243"/>
      <c r="Y1017" s="243"/>
      <c r="Z1017" s="243"/>
      <c r="AA1017" s="243"/>
      <c r="AB1017" s="243"/>
      <c r="AC1017" s="243"/>
      <c r="AD1017" s="243"/>
      <c r="AE1017" s="243"/>
    </row>
    <row r="1018">
      <c r="P1018" s="242"/>
      <c r="Q1018" s="207"/>
      <c r="U1018" s="243"/>
      <c r="V1018" s="243"/>
      <c r="W1018" s="243"/>
      <c r="X1018" s="243"/>
      <c r="Y1018" s="243"/>
      <c r="Z1018" s="243"/>
      <c r="AA1018" s="243"/>
      <c r="AB1018" s="243"/>
      <c r="AC1018" s="243"/>
      <c r="AD1018" s="243"/>
      <c r="AE1018" s="243"/>
    </row>
    <row r="1019">
      <c r="P1019" s="242"/>
      <c r="Q1019" s="207"/>
      <c r="U1019" s="243"/>
      <c r="V1019" s="243"/>
      <c r="W1019" s="243"/>
      <c r="X1019" s="243"/>
      <c r="Y1019" s="243"/>
      <c r="Z1019" s="243"/>
      <c r="AA1019" s="243"/>
      <c r="AB1019" s="243"/>
      <c r="AC1019" s="243"/>
      <c r="AD1019" s="243"/>
      <c r="AE1019" s="243"/>
    </row>
    <row r="1020">
      <c r="P1020" s="242"/>
      <c r="Q1020" s="207"/>
      <c r="U1020" s="243"/>
      <c r="V1020" s="243"/>
      <c r="W1020" s="243"/>
      <c r="X1020" s="243"/>
      <c r="Y1020" s="243"/>
      <c r="Z1020" s="243"/>
      <c r="AA1020" s="243"/>
      <c r="AB1020" s="243"/>
      <c r="AC1020" s="243"/>
      <c r="AD1020" s="243"/>
      <c r="AE1020" s="243"/>
    </row>
    <row r="1021">
      <c r="P1021" s="242"/>
      <c r="Q1021" s="207"/>
      <c r="U1021" s="243"/>
      <c r="V1021" s="243"/>
      <c r="W1021" s="243"/>
      <c r="X1021" s="243"/>
      <c r="Y1021" s="243"/>
      <c r="Z1021" s="243"/>
      <c r="AA1021" s="243"/>
      <c r="AB1021" s="243"/>
      <c r="AC1021" s="243"/>
      <c r="AD1021" s="243"/>
      <c r="AE1021" s="243"/>
    </row>
    <row r="1022">
      <c r="P1022" s="242"/>
      <c r="Q1022" s="207"/>
      <c r="U1022" s="243"/>
      <c r="V1022" s="243"/>
      <c r="W1022" s="243"/>
      <c r="X1022" s="243"/>
      <c r="Y1022" s="243"/>
      <c r="Z1022" s="243"/>
      <c r="AA1022" s="243"/>
      <c r="AB1022" s="243"/>
      <c r="AC1022" s="243"/>
      <c r="AD1022" s="243"/>
      <c r="AE1022" s="243"/>
    </row>
    <row r="1023">
      <c r="P1023" s="242"/>
      <c r="Q1023" s="207"/>
      <c r="U1023" s="243"/>
      <c r="V1023" s="243"/>
      <c r="W1023" s="243"/>
      <c r="X1023" s="243"/>
      <c r="Y1023" s="243"/>
      <c r="Z1023" s="243"/>
      <c r="AA1023" s="243"/>
      <c r="AB1023" s="243"/>
      <c r="AC1023" s="243"/>
      <c r="AD1023" s="243"/>
      <c r="AE1023" s="243"/>
    </row>
    <row r="1024">
      <c r="P1024" s="242"/>
      <c r="Q1024" s="207"/>
      <c r="U1024" s="243"/>
      <c r="V1024" s="243"/>
      <c r="W1024" s="243"/>
      <c r="X1024" s="243"/>
      <c r="Y1024" s="243"/>
      <c r="Z1024" s="243"/>
      <c r="AA1024" s="243"/>
      <c r="AB1024" s="243"/>
      <c r="AC1024" s="243"/>
      <c r="AD1024" s="243"/>
      <c r="AE1024" s="243"/>
    </row>
    <row r="1025">
      <c r="P1025" s="242"/>
      <c r="Q1025" s="207"/>
      <c r="U1025" s="243"/>
      <c r="V1025" s="243"/>
      <c r="W1025" s="243"/>
      <c r="X1025" s="243"/>
      <c r="Y1025" s="243"/>
      <c r="Z1025" s="243"/>
      <c r="AA1025" s="243"/>
      <c r="AB1025" s="243"/>
      <c r="AC1025" s="243"/>
      <c r="AD1025" s="243"/>
      <c r="AE1025" s="243"/>
    </row>
    <row r="1026">
      <c r="P1026" s="242"/>
      <c r="Q1026" s="207"/>
      <c r="U1026" s="243"/>
      <c r="V1026" s="243"/>
      <c r="W1026" s="243"/>
      <c r="X1026" s="243"/>
      <c r="Y1026" s="243"/>
      <c r="Z1026" s="243"/>
      <c r="AA1026" s="243"/>
      <c r="AB1026" s="243"/>
      <c r="AC1026" s="243"/>
      <c r="AD1026" s="243"/>
      <c r="AE1026" s="243"/>
    </row>
    <row r="1027">
      <c r="P1027" s="242"/>
      <c r="Q1027" s="207"/>
      <c r="U1027" s="243"/>
      <c r="V1027" s="243"/>
      <c r="W1027" s="243"/>
      <c r="X1027" s="243"/>
      <c r="Y1027" s="243"/>
      <c r="Z1027" s="243"/>
      <c r="AA1027" s="243"/>
      <c r="AB1027" s="243"/>
      <c r="AC1027" s="243"/>
      <c r="AD1027" s="243"/>
      <c r="AE1027" s="243"/>
    </row>
    <row r="1028">
      <c r="P1028" s="242"/>
      <c r="Q1028" s="207"/>
      <c r="U1028" s="243"/>
      <c r="V1028" s="243"/>
      <c r="W1028" s="243"/>
      <c r="X1028" s="243"/>
      <c r="Y1028" s="243"/>
      <c r="Z1028" s="243"/>
      <c r="AA1028" s="243"/>
      <c r="AB1028" s="243"/>
      <c r="AC1028" s="243"/>
      <c r="AD1028" s="243"/>
      <c r="AE1028" s="243"/>
    </row>
    <row r="1029">
      <c r="P1029" s="242"/>
      <c r="Q1029" s="207"/>
      <c r="U1029" s="243"/>
      <c r="V1029" s="243"/>
      <c r="W1029" s="243"/>
      <c r="X1029" s="243"/>
      <c r="Y1029" s="243"/>
      <c r="Z1029" s="243"/>
      <c r="AA1029" s="243"/>
      <c r="AB1029" s="243"/>
      <c r="AC1029" s="243"/>
      <c r="AD1029" s="243"/>
      <c r="AE1029" s="243"/>
    </row>
    <row r="1030">
      <c r="P1030" s="242"/>
      <c r="Q1030" s="207"/>
      <c r="U1030" s="243"/>
      <c r="V1030" s="243"/>
      <c r="W1030" s="243"/>
      <c r="X1030" s="243"/>
      <c r="Y1030" s="243"/>
      <c r="Z1030" s="243"/>
      <c r="AA1030" s="243"/>
      <c r="AB1030" s="243"/>
      <c r="AC1030" s="243"/>
      <c r="AD1030" s="243"/>
      <c r="AE1030" s="243"/>
    </row>
    <row r="1031">
      <c r="P1031" s="242"/>
      <c r="Q1031" s="207"/>
      <c r="U1031" s="243"/>
      <c r="V1031" s="243"/>
      <c r="W1031" s="243"/>
      <c r="X1031" s="243"/>
      <c r="Y1031" s="243"/>
      <c r="Z1031" s="243"/>
      <c r="AA1031" s="243"/>
      <c r="AB1031" s="243"/>
      <c r="AC1031" s="243"/>
      <c r="AD1031" s="243"/>
      <c r="AE1031" s="243"/>
    </row>
    <row r="1032">
      <c r="P1032" s="242"/>
      <c r="Q1032" s="207"/>
      <c r="U1032" s="243"/>
      <c r="V1032" s="243"/>
      <c r="W1032" s="243"/>
      <c r="X1032" s="243"/>
      <c r="Y1032" s="243"/>
      <c r="Z1032" s="243"/>
      <c r="AA1032" s="243"/>
      <c r="AB1032" s="243"/>
      <c r="AC1032" s="243"/>
      <c r="AD1032" s="243"/>
      <c r="AE1032" s="243"/>
    </row>
    <row r="1033">
      <c r="P1033" s="242"/>
      <c r="Q1033" s="207"/>
      <c r="U1033" s="243"/>
      <c r="V1033" s="243"/>
      <c r="W1033" s="243"/>
      <c r="X1033" s="243"/>
      <c r="Y1033" s="243"/>
      <c r="Z1033" s="243"/>
      <c r="AA1033" s="243"/>
      <c r="AB1033" s="243"/>
      <c r="AC1033" s="243"/>
      <c r="AD1033" s="243"/>
      <c r="AE1033" s="243"/>
    </row>
    <row r="1034">
      <c r="P1034" s="242"/>
      <c r="Q1034" s="207"/>
      <c r="U1034" s="243"/>
      <c r="V1034" s="243"/>
      <c r="W1034" s="243"/>
      <c r="X1034" s="243"/>
      <c r="Y1034" s="243"/>
      <c r="Z1034" s="243"/>
      <c r="AA1034" s="243"/>
      <c r="AB1034" s="243"/>
      <c r="AC1034" s="243"/>
      <c r="AD1034" s="243"/>
      <c r="AE1034" s="243"/>
    </row>
    <row r="1035">
      <c r="P1035" s="242"/>
      <c r="Q1035" s="207"/>
      <c r="U1035" s="243"/>
      <c r="V1035" s="243"/>
      <c r="W1035" s="243"/>
      <c r="X1035" s="243"/>
      <c r="Y1035" s="243"/>
      <c r="Z1035" s="243"/>
      <c r="AA1035" s="243"/>
      <c r="AB1035" s="243"/>
      <c r="AC1035" s="243"/>
      <c r="AD1035" s="243"/>
      <c r="AE1035" s="243"/>
    </row>
    <row r="1036">
      <c r="P1036" s="242"/>
      <c r="Q1036" s="207"/>
      <c r="U1036" s="243"/>
      <c r="V1036" s="243"/>
      <c r="W1036" s="243"/>
      <c r="X1036" s="243"/>
      <c r="Y1036" s="243"/>
      <c r="Z1036" s="243"/>
      <c r="AA1036" s="243"/>
      <c r="AB1036" s="243"/>
      <c r="AC1036" s="243"/>
      <c r="AD1036" s="243"/>
      <c r="AE1036" s="243"/>
    </row>
    <row r="1037">
      <c r="P1037" s="242"/>
      <c r="Q1037" s="207"/>
      <c r="U1037" s="243"/>
      <c r="V1037" s="243"/>
      <c r="W1037" s="243"/>
      <c r="X1037" s="243"/>
      <c r="Y1037" s="243"/>
      <c r="Z1037" s="243"/>
      <c r="AA1037" s="243"/>
      <c r="AB1037" s="243"/>
      <c r="AC1037" s="243"/>
      <c r="AD1037" s="243"/>
      <c r="AE1037" s="243"/>
    </row>
    <row r="1038">
      <c r="P1038" s="242"/>
      <c r="Q1038" s="207"/>
      <c r="U1038" s="243"/>
      <c r="V1038" s="243"/>
      <c r="W1038" s="243"/>
      <c r="X1038" s="243"/>
      <c r="Y1038" s="243"/>
      <c r="Z1038" s="243"/>
      <c r="AA1038" s="243"/>
      <c r="AB1038" s="243"/>
      <c r="AC1038" s="243"/>
      <c r="AD1038" s="243"/>
      <c r="AE1038" s="243"/>
    </row>
    <row r="1039">
      <c r="P1039" s="242"/>
      <c r="Q1039" s="207"/>
      <c r="U1039" s="243"/>
      <c r="V1039" s="243"/>
      <c r="W1039" s="243"/>
      <c r="X1039" s="243"/>
      <c r="Y1039" s="243"/>
      <c r="Z1039" s="243"/>
      <c r="AA1039" s="243"/>
      <c r="AB1039" s="243"/>
      <c r="AC1039" s="243"/>
      <c r="AD1039" s="243"/>
      <c r="AE1039" s="243"/>
    </row>
    <row r="1040">
      <c r="P1040" s="242"/>
      <c r="Q1040" s="207"/>
      <c r="U1040" s="243"/>
      <c r="V1040" s="243"/>
      <c r="W1040" s="243"/>
      <c r="X1040" s="243"/>
      <c r="Y1040" s="243"/>
      <c r="Z1040" s="243"/>
      <c r="AA1040" s="243"/>
      <c r="AB1040" s="243"/>
      <c r="AC1040" s="243"/>
      <c r="AD1040" s="243"/>
      <c r="AE1040" s="243"/>
    </row>
    <row r="1041">
      <c r="P1041" s="242"/>
      <c r="Q1041" s="207"/>
      <c r="U1041" s="243"/>
      <c r="V1041" s="243"/>
      <c r="W1041" s="243"/>
      <c r="X1041" s="243"/>
      <c r="Y1041" s="243"/>
      <c r="Z1041" s="243"/>
      <c r="AA1041" s="243"/>
      <c r="AB1041" s="243"/>
      <c r="AC1041" s="243"/>
      <c r="AD1041" s="243"/>
      <c r="AE1041" s="243"/>
    </row>
    <row r="1042">
      <c r="P1042" s="242"/>
      <c r="Q1042" s="207"/>
      <c r="U1042" s="243"/>
      <c r="V1042" s="243"/>
      <c r="W1042" s="243"/>
      <c r="X1042" s="243"/>
      <c r="Y1042" s="243"/>
      <c r="Z1042" s="243"/>
      <c r="AA1042" s="243"/>
      <c r="AB1042" s="243"/>
      <c r="AC1042" s="243"/>
      <c r="AD1042" s="243"/>
      <c r="AE1042" s="243"/>
    </row>
    <row r="1043">
      <c r="P1043" s="242"/>
      <c r="Q1043" s="207"/>
      <c r="U1043" s="243"/>
      <c r="V1043" s="243"/>
      <c r="W1043" s="243"/>
      <c r="X1043" s="243"/>
      <c r="Y1043" s="243"/>
      <c r="Z1043" s="243"/>
      <c r="AA1043" s="243"/>
      <c r="AB1043" s="243"/>
      <c r="AC1043" s="243"/>
      <c r="AD1043" s="243"/>
      <c r="AE1043" s="243"/>
    </row>
    <row r="1044">
      <c r="P1044" s="242"/>
      <c r="Q1044" s="207"/>
      <c r="U1044" s="243"/>
      <c r="V1044" s="243"/>
      <c r="W1044" s="243"/>
      <c r="X1044" s="243"/>
      <c r="Y1044" s="243"/>
      <c r="Z1044" s="243"/>
      <c r="AA1044" s="243"/>
      <c r="AB1044" s="243"/>
      <c r="AC1044" s="243"/>
      <c r="AD1044" s="243"/>
      <c r="AE1044" s="243"/>
    </row>
    <row r="1045">
      <c r="P1045" s="242"/>
      <c r="Q1045" s="207"/>
      <c r="U1045" s="243"/>
      <c r="V1045" s="243"/>
      <c r="W1045" s="243"/>
      <c r="X1045" s="243"/>
      <c r="Y1045" s="243"/>
      <c r="Z1045" s="243"/>
      <c r="AA1045" s="243"/>
      <c r="AB1045" s="243"/>
      <c r="AC1045" s="243"/>
      <c r="AD1045" s="243"/>
      <c r="AE1045" s="243"/>
    </row>
    <row r="1046">
      <c r="P1046" s="242"/>
      <c r="Q1046" s="207"/>
      <c r="U1046" s="243"/>
      <c r="V1046" s="243"/>
      <c r="W1046" s="243"/>
      <c r="X1046" s="243"/>
      <c r="Y1046" s="243"/>
      <c r="Z1046" s="243"/>
      <c r="AA1046" s="243"/>
      <c r="AB1046" s="243"/>
      <c r="AC1046" s="243"/>
      <c r="AD1046" s="243"/>
      <c r="AE1046" s="243"/>
    </row>
    <row r="1047">
      <c r="P1047" s="242"/>
      <c r="Q1047" s="207"/>
      <c r="U1047" s="243"/>
      <c r="V1047" s="243"/>
      <c r="W1047" s="243"/>
      <c r="X1047" s="243"/>
      <c r="Y1047" s="243"/>
      <c r="Z1047" s="243"/>
      <c r="AA1047" s="243"/>
      <c r="AB1047" s="243"/>
      <c r="AC1047" s="243"/>
      <c r="AD1047" s="243"/>
      <c r="AE1047" s="243"/>
    </row>
    <row r="1048">
      <c r="P1048" s="242"/>
      <c r="Q1048" s="207"/>
      <c r="U1048" s="243"/>
      <c r="V1048" s="243"/>
      <c r="W1048" s="243"/>
      <c r="X1048" s="243"/>
      <c r="Y1048" s="243"/>
      <c r="Z1048" s="243"/>
      <c r="AA1048" s="243"/>
      <c r="AB1048" s="243"/>
      <c r="AC1048" s="243"/>
      <c r="AD1048" s="243"/>
      <c r="AE1048" s="243"/>
    </row>
    <row r="1049">
      <c r="P1049" s="242"/>
      <c r="Q1049" s="207"/>
      <c r="U1049" s="243"/>
      <c r="V1049" s="243"/>
      <c r="W1049" s="243"/>
      <c r="X1049" s="243"/>
      <c r="Y1049" s="243"/>
      <c r="Z1049" s="243"/>
      <c r="AA1049" s="243"/>
      <c r="AB1049" s="243"/>
      <c r="AC1049" s="243"/>
      <c r="AD1049" s="243"/>
      <c r="AE1049" s="243"/>
    </row>
    <row r="1050">
      <c r="P1050" s="242"/>
      <c r="Q1050" s="207"/>
      <c r="U1050" s="243"/>
      <c r="V1050" s="243"/>
      <c r="W1050" s="243"/>
      <c r="X1050" s="243"/>
      <c r="Y1050" s="243"/>
      <c r="Z1050" s="243"/>
      <c r="AA1050" s="243"/>
      <c r="AB1050" s="243"/>
      <c r="AC1050" s="243"/>
      <c r="AD1050" s="243"/>
      <c r="AE1050" s="243"/>
    </row>
    <row r="1051">
      <c r="P1051" s="242"/>
      <c r="Q1051" s="207"/>
      <c r="U1051" s="243"/>
      <c r="V1051" s="243"/>
      <c r="W1051" s="243"/>
      <c r="X1051" s="243"/>
      <c r="Y1051" s="243"/>
      <c r="Z1051" s="243"/>
      <c r="AA1051" s="243"/>
      <c r="AB1051" s="243"/>
      <c r="AC1051" s="243"/>
      <c r="AD1051" s="243"/>
      <c r="AE1051" s="243"/>
    </row>
    <row r="1052">
      <c r="P1052" s="242"/>
      <c r="Q1052" s="207"/>
      <c r="U1052" s="243"/>
      <c r="V1052" s="243"/>
      <c r="W1052" s="243"/>
      <c r="X1052" s="243"/>
      <c r="Y1052" s="243"/>
      <c r="Z1052" s="243"/>
      <c r="AA1052" s="243"/>
      <c r="AB1052" s="243"/>
      <c r="AC1052" s="243"/>
      <c r="AD1052" s="243"/>
      <c r="AE1052" s="243"/>
    </row>
    <row r="1053">
      <c r="P1053" s="242"/>
      <c r="Q1053" s="207"/>
      <c r="U1053" s="243"/>
      <c r="V1053" s="243"/>
      <c r="W1053" s="243"/>
      <c r="X1053" s="243"/>
      <c r="Y1053" s="243"/>
      <c r="Z1053" s="243"/>
      <c r="AA1053" s="243"/>
      <c r="AB1053" s="243"/>
      <c r="AC1053" s="243"/>
      <c r="AD1053" s="243"/>
      <c r="AE1053" s="243"/>
    </row>
    <row r="1054">
      <c r="P1054" s="242"/>
      <c r="Q1054" s="207"/>
      <c r="U1054" s="243"/>
      <c r="V1054" s="243"/>
      <c r="W1054" s="243"/>
      <c r="X1054" s="243"/>
      <c r="Y1054" s="243"/>
      <c r="Z1054" s="243"/>
      <c r="AA1054" s="243"/>
      <c r="AB1054" s="243"/>
      <c r="AC1054" s="243"/>
      <c r="AD1054" s="243"/>
      <c r="AE1054" s="243"/>
    </row>
    <row r="1055">
      <c r="P1055" s="242"/>
      <c r="Q1055" s="207"/>
      <c r="U1055" s="243"/>
      <c r="V1055" s="243"/>
      <c r="W1055" s="243"/>
      <c r="X1055" s="243"/>
      <c r="Y1055" s="243"/>
      <c r="Z1055" s="243"/>
      <c r="AA1055" s="243"/>
      <c r="AB1055" s="243"/>
      <c r="AC1055" s="243"/>
      <c r="AD1055" s="243"/>
      <c r="AE1055" s="243"/>
    </row>
    <row r="1056">
      <c r="P1056" s="242"/>
      <c r="Q1056" s="207"/>
      <c r="U1056" s="243"/>
      <c r="V1056" s="243"/>
      <c r="W1056" s="243"/>
      <c r="X1056" s="243"/>
      <c r="Y1056" s="243"/>
      <c r="Z1056" s="243"/>
      <c r="AA1056" s="243"/>
      <c r="AB1056" s="243"/>
      <c r="AC1056" s="243"/>
      <c r="AD1056" s="243"/>
      <c r="AE1056" s="243"/>
    </row>
    <row r="1057">
      <c r="P1057" s="242"/>
      <c r="Q1057" s="207"/>
      <c r="U1057" s="243"/>
      <c r="V1057" s="243"/>
      <c r="W1057" s="243"/>
      <c r="X1057" s="243"/>
      <c r="Y1057" s="243"/>
      <c r="Z1057" s="243"/>
      <c r="AA1057" s="243"/>
      <c r="AB1057" s="243"/>
      <c r="AC1057" s="243"/>
      <c r="AD1057" s="243"/>
      <c r="AE1057" s="243"/>
    </row>
    <row r="1058">
      <c r="P1058" s="242"/>
      <c r="Q1058" s="207"/>
      <c r="U1058" s="243"/>
      <c r="V1058" s="243"/>
      <c r="W1058" s="243"/>
      <c r="X1058" s="243"/>
      <c r="Y1058" s="243"/>
      <c r="Z1058" s="243"/>
      <c r="AA1058" s="243"/>
      <c r="AB1058" s="243"/>
      <c r="AC1058" s="243"/>
      <c r="AD1058" s="243"/>
      <c r="AE1058" s="243"/>
    </row>
    <row r="1059">
      <c r="P1059" s="242"/>
      <c r="Q1059" s="207"/>
      <c r="U1059" s="243"/>
      <c r="V1059" s="243"/>
      <c r="W1059" s="243"/>
      <c r="X1059" s="243"/>
      <c r="Y1059" s="243"/>
      <c r="Z1059" s="243"/>
      <c r="AA1059" s="243"/>
      <c r="AB1059" s="243"/>
      <c r="AC1059" s="243"/>
      <c r="AD1059" s="243"/>
      <c r="AE1059" s="243"/>
    </row>
    <row r="1060">
      <c r="P1060" s="242"/>
      <c r="Q1060" s="207"/>
      <c r="U1060" s="243"/>
      <c r="V1060" s="243"/>
      <c r="W1060" s="243"/>
      <c r="X1060" s="243"/>
      <c r="Y1060" s="243"/>
      <c r="Z1060" s="243"/>
      <c r="AA1060" s="243"/>
      <c r="AB1060" s="243"/>
      <c r="AC1060" s="243"/>
      <c r="AD1060" s="243"/>
      <c r="AE1060" s="243"/>
    </row>
    <row r="1061">
      <c r="P1061" s="242"/>
      <c r="Q1061" s="207"/>
      <c r="U1061" s="243"/>
      <c r="V1061" s="243"/>
      <c r="W1061" s="243"/>
      <c r="X1061" s="243"/>
      <c r="Y1061" s="243"/>
      <c r="Z1061" s="243"/>
      <c r="AA1061" s="243"/>
      <c r="AB1061" s="243"/>
      <c r="AC1061" s="243"/>
      <c r="AD1061" s="243"/>
      <c r="AE1061" s="243"/>
    </row>
    <row r="1062">
      <c r="P1062" s="242"/>
      <c r="Q1062" s="207"/>
      <c r="U1062" s="243"/>
      <c r="V1062" s="243"/>
      <c r="W1062" s="243"/>
      <c r="X1062" s="243"/>
      <c r="Y1062" s="243"/>
      <c r="Z1062" s="243"/>
      <c r="AA1062" s="243"/>
      <c r="AB1062" s="243"/>
      <c r="AC1062" s="243"/>
      <c r="AD1062" s="243"/>
      <c r="AE1062" s="243"/>
    </row>
    <row r="1063">
      <c r="P1063" s="242"/>
      <c r="Q1063" s="207"/>
      <c r="U1063" s="243"/>
      <c r="V1063" s="243"/>
      <c r="W1063" s="243"/>
      <c r="X1063" s="243"/>
      <c r="Y1063" s="243"/>
      <c r="Z1063" s="243"/>
      <c r="AA1063" s="243"/>
      <c r="AB1063" s="243"/>
      <c r="AC1063" s="243"/>
      <c r="AD1063" s="243"/>
      <c r="AE1063" s="243"/>
    </row>
    <row r="1064">
      <c r="P1064" s="242"/>
      <c r="Q1064" s="207"/>
      <c r="U1064" s="243"/>
      <c r="V1064" s="243"/>
      <c r="W1064" s="243"/>
      <c r="X1064" s="243"/>
      <c r="Y1064" s="243"/>
      <c r="Z1064" s="243"/>
      <c r="AA1064" s="243"/>
      <c r="AB1064" s="243"/>
      <c r="AC1064" s="243"/>
      <c r="AD1064" s="243"/>
      <c r="AE1064" s="243"/>
    </row>
    <row r="1065">
      <c r="P1065" s="242"/>
      <c r="Q1065" s="207"/>
      <c r="U1065" s="243"/>
      <c r="V1065" s="243"/>
      <c r="W1065" s="243"/>
      <c r="X1065" s="243"/>
      <c r="Y1065" s="243"/>
      <c r="Z1065" s="243"/>
      <c r="AA1065" s="243"/>
      <c r="AB1065" s="243"/>
      <c r="AC1065" s="243"/>
      <c r="AD1065" s="243"/>
      <c r="AE1065" s="243"/>
    </row>
    <row r="1066">
      <c r="P1066" s="242"/>
      <c r="Q1066" s="207"/>
      <c r="U1066" s="243"/>
      <c r="V1066" s="243"/>
      <c r="W1066" s="243"/>
      <c r="X1066" s="243"/>
      <c r="Y1066" s="243"/>
      <c r="Z1066" s="243"/>
      <c r="AA1066" s="243"/>
      <c r="AB1066" s="243"/>
      <c r="AC1066" s="243"/>
      <c r="AD1066" s="243"/>
      <c r="AE1066" s="243"/>
    </row>
    <row r="1067">
      <c r="P1067" s="242"/>
      <c r="Q1067" s="207"/>
      <c r="U1067" s="243"/>
      <c r="V1067" s="243"/>
      <c r="W1067" s="243"/>
      <c r="X1067" s="243"/>
      <c r="Y1067" s="243"/>
      <c r="Z1067" s="243"/>
      <c r="AA1067" s="243"/>
      <c r="AB1067" s="243"/>
      <c r="AC1067" s="243"/>
      <c r="AD1067" s="243"/>
      <c r="AE1067" s="243"/>
    </row>
    <row r="1068">
      <c r="P1068" s="242"/>
      <c r="Q1068" s="207"/>
      <c r="U1068" s="243"/>
      <c r="V1068" s="243"/>
      <c r="W1068" s="243"/>
      <c r="X1068" s="243"/>
      <c r="Y1068" s="243"/>
      <c r="Z1068" s="243"/>
      <c r="AA1068" s="243"/>
      <c r="AB1068" s="243"/>
      <c r="AC1068" s="243"/>
      <c r="AD1068" s="243"/>
      <c r="AE1068" s="243"/>
    </row>
    <row r="1069">
      <c r="P1069" s="242"/>
      <c r="Q1069" s="207"/>
      <c r="U1069" s="243"/>
      <c r="V1069" s="243"/>
      <c r="W1069" s="243"/>
      <c r="X1069" s="243"/>
      <c r="Y1069" s="243"/>
      <c r="Z1069" s="243"/>
      <c r="AA1069" s="243"/>
      <c r="AB1069" s="243"/>
      <c r="AC1069" s="243"/>
      <c r="AD1069" s="243"/>
      <c r="AE1069" s="243"/>
    </row>
    <row r="1070">
      <c r="P1070" s="242"/>
      <c r="Q1070" s="207"/>
      <c r="U1070" s="243"/>
      <c r="V1070" s="243"/>
      <c r="W1070" s="243"/>
      <c r="X1070" s="243"/>
      <c r="Y1070" s="243"/>
      <c r="Z1070" s="243"/>
      <c r="AA1070" s="243"/>
      <c r="AB1070" s="243"/>
      <c r="AC1070" s="243"/>
      <c r="AD1070" s="243"/>
      <c r="AE1070" s="243"/>
    </row>
    <row r="1071">
      <c r="P1071" s="242"/>
      <c r="Q1071" s="207"/>
      <c r="U1071" s="243"/>
      <c r="V1071" s="243"/>
      <c r="W1071" s="243"/>
      <c r="X1071" s="243"/>
      <c r="Y1071" s="243"/>
      <c r="Z1071" s="243"/>
      <c r="AA1071" s="243"/>
      <c r="AB1071" s="243"/>
      <c r="AC1071" s="243"/>
      <c r="AD1071" s="243"/>
      <c r="AE1071" s="243"/>
    </row>
    <row r="1072">
      <c r="P1072" s="242"/>
      <c r="Q1072" s="207"/>
      <c r="U1072" s="243"/>
      <c r="V1072" s="243"/>
      <c r="W1072" s="243"/>
      <c r="X1072" s="243"/>
      <c r="Y1072" s="243"/>
      <c r="Z1072" s="243"/>
      <c r="AA1072" s="243"/>
      <c r="AB1072" s="243"/>
      <c r="AC1072" s="243"/>
      <c r="AD1072" s="243"/>
      <c r="AE1072" s="243"/>
    </row>
    <row r="1073">
      <c r="P1073" s="242"/>
      <c r="Q1073" s="207"/>
      <c r="U1073" s="243"/>
      <c r="V1073" s="243"/>
      <c r="W1073" s="243"/>
      <c r="X1073" s="243"/>
      <c r="Y1073" s="243"/>
      <c r="Z1073" s="243"/>
      <c r="AA1073" s="243"/>
      <c r="AB1073" s="243"/>
      <c r="AC1073" s="243"/>
      <c r="AD1073" s="243"/>
      <c r="AE1073" s="243"/>
    </row>
    <row r="1074">
      <c r="P1074" s="242"/>
      <c r="Q1074" s="207"/>
      <c r="U1074" s="243"/>
      <c r="V1074" s="243"/>
      <c r="W1074" s="243"/>
      <c r="X1074" s="243"/>
      <c r="Y1074" s="243"/>
      <c r="Z1074" s="243"/>
      <c r="AA1074" s="243"/>
      <c r="AB1074" s="243"/>
      <c r="AC1074" s="243"/>
      <c r="AD1074" s="243"/>
      <c r="AE1074" s="243"/>
    </row>
    <row r="1075">
      <c r="P1075" s="242"/>
      <c r="Q1075" s="207"/>
      <c r="U1075" s="243"/>
      <c r="V1075" s="243"/>
      <c r="W1075" s="243"/>
      <c r="X1075" s="243"/>
      <c r="Y1075" s="243"/>
      <c r="Z1075" s="243"/>
      <c r="AA1075" s="243"/>
      <c r="AB1075" s="243"/>
      <c r="AC1075" s="243"/>
      <c r="AD1075" s="243"/>
      <c r="AE1075" s="243"/>
    </row>
    <row r="1076">
      <c r="P1076" s="242"/>
      <c r="Q1076" s="207"/>
      <c r="U1076" s="243"/>
      <c r="V1076" s="243"/>
      <c r="W1076" s="243"/>
      <c r="X1076" s="243"/>
      <c r="Y1076" s="243"/>
      <c r="Z1076" s="243"/>
      <c r="AA1076" s="243"/>
      <c r="AB1076" s="243"/>
      <c r="AC1076" s="243"/>
      <c r="AD1076" s="243"/>
      <c r="AE1076" s="243"/>
    </row>
    <row r="1077">
      <c r="P1077" s="242"/>
      <c r="Q1077" s="207"/>
      <c r="U1077" s="243"/>
      <c r="V1077" s="243"/>
      <c r="W1077" s="243"/>
      <c r="X1077" s="243"/>
      <c r="Y1077" s="243"/>
      <c r="Z1077" s="243"/>
      <c r="AA1077" s="243"/>
      <c r="AB1077" s="243"/>
      <c r="AC1077" s="243"/>
      <c r="AD1077" s="243"/>
      <c r="AE1077" s="243"/>
    </row>
    <row r="1078">
      <c r="P1078" s="242"/>
      <c r="Q1078" s="207"/>
      <c r="U1078" s="243"/>
      <c r="V1078" s="243"/>
      <c r="W1078" s="243"/>
      <c r="X1078" s="243"/>
      <c r="Y1078" s="243"/>
      <c r="Z1078" s="243"/>
      <c r="AA1078" s="243"/>
      <c r="AB1078" s="243"/>
      <c r="AC1078" s="243"/>
      <c r="AD1078" s="243"/>
      <c r="AE1078" s="243"/>
    </row>
    <row r="1079">
      <c r="P1079" s="242"/>
      <c r="Q1079" s="207"/>
      <c r="U1079" s="243"/>
      <c r="V1079" s="243"/>
      <c r="W1079" s="243"/>
      <c r="X1079" s="243"/>
      <c r="Y1079" s="243"/>
      <c r="Z1079" s="243"/>
      <c r="AA1079" s="243"/>
      <c r="AB1079" s="243"/>
      <c r="AC1079" s="243"/>
      <c r="AD1079" s="243"/>
      <c r="AE1079" s="243"/>
    </row>
    <row r="1080">
      <c r="P1080" s="242"/>
      <c r="Q1080" s="207"/>
      <c r="U1080" s="243"/>
      <c r="V1080" s="243"/>
      <c r="W1080" s="243"/>
      <c r="X1080" s="243"/>
      <c r="Y1080" s="243"/>
      <c r="Z1080" s="243"/>
      <c r="AA1080" s="243"/>
      <c r="AB1080" s="243"/>
      <c r="AC1080" s="243"/>
      <c r="AD1080" s="243"/>
      <c r="AE1080" s="243"/>
    </row>
    <row r="1081">
      <c r="P1081" s="242"/>
      <c r="Q1081" s="207"/>
      <c r="U1081" s="243"/>
      <c r="V1081" s="243"/>
      <c r="W1081" s="243"/>
      <c r="X1081" s="243"/>
      <c r="Y1081" s="243"/>
      <c r="Z1081" s="243"/>
      <c r="AA1081" s="243"/>
      <c r="AB1081" s="243"/>
      <c r="AC1081" s="243"/>
      <c r="AD1081" s="243"/>
      <c r="AE1081" s="243"/>
    </row>
    <row r="1082">
      <c r="P1082" s="242"/>
      <c r="Q1082" s="207"/>
      <c r="U1082" s="243"/>
      <c r="V1082" s="243"/>
      <c r="W1082" s="243"/>
      <c r="X1082" s="243"/>
      <c r="Y1082" s="243"/>
      <c r="Z1082" s="243"/>
      <c r="AA1082" s="243"/>
      <c r="AB1082" s="243"/>
      <c r="AC1082" s="243"/>
      <c r="AD1082" s="243"/>
      <c r="AE1082" s="243"/>
    </row>
    <row r="1083">
      <c r="P1083" s="242"/>
      <c r="Q1083" s="207"/>
      <c r="U1083" s="243"/>
      <c r="V1083" s="243"/>
      <c r="W1083" s="243"/>
      <c r="X1083" s="243"/>
      <c r="Y1083" s="243"/>
      <c r="Z1083" s="243"/>
      <c r="AA1083" s="243"/>
      <c r="AB1083" s="243"/>
      <c r="AC1083" s="243"/>
      <c r="AD1083" s="243"/>
      <c r="AE1083" s="243"/>
    </row>
    <row r="1084">
      <c r="P1084" s="242"/>
      <c r="Q1084" s="207"/>
      <c r="U1084" s="243"/>
      <c r="V1084" s="243"/>
      <c r="W1084" s="243"/>
      <c r="X1084" s="243"/>
      <c r="Y1084" s="243"/>
      <c r="Z1084" s="243"/>
      <c r="AA1084" s="243"/>
      <c r="AB1084" s="243"/>
      <c r="AC1084" s="243"/>
      <c r="AD1084" s="243"/>
      <c r="AE1084" s="243"/>
    </row>
    <row r="1085">
      <c r="P1085" s="242"/>
      <c r="Q1085" s="207"/>
      <c r="U1085" s="243"/>
      <c r="V1085" s="243"/>
      <c r="W1085" s="243"/>
      <c r="X1085" s="243"/>
      <c r="Y1085" s="243"/>
      <c r="Z1085" s="243"/>
      <c r="AA1085" s="243"/>
      <c r="AB1085" s="243"/>
      <c r="AC1085" s="243"/>
      <c r="AD1085" s="243"/>
      <c r="AE1085" s="243"/>
    </row>
    <row r="1086">
      <c r="P1086" s="242"/>
      <c r="Q1086" s="207"/>
      <c r="U1086" s="243"/>
      <c r="V1086" s="243"/>
      <c r="W1086" s="243"/>
      <c r="X1086" s="243"/>
      <c r="Y1086" s="243"/>
      <c r="Z1086" s="243"/>
      <c r="AA1086" s="243"/>
      <c r="AB1086" s="243"/>
      <c r="AC1086" s="243"/>
      <c r="AD1086" s="243"/>
      <c r="AE1086" s="243"/>
    </row>
    <row r="1087">
      <c r="P1087" s="242"/>
      <c r="Q1087" s="207"/>
      <c r="U1087" s="243"/>
      <c r="V1087" s="243"/>
      <c r="W1087" s="243"/>
      <c r="X1087" s="243"/>
      <c r="Y1087" s="243"/>
      <c r="Z1087" s="243"/>
      <c r="AA1087" s="243"/>
      <c r="AB1087" s="243"/>
      <c r="AC1087" s="243"/>
      <c r="AD1087" s="243"/>
      <c r="AE1087" s="243"/>
    </row>
    <row r="1088">
      <c r="P1088" s="242"/>
      <c r="Q1088" s="207"/>
      <c r="U1088" s="243"/>
      <c r="V1088" s="243"/>
      <c r="W1088" s="243"/>
      <c r="X1088" s="243"/>
      <c r="Y1088" s="243"/>
      <c r="Z1088" s="243"/>
      <c r="AA1088" s="243"/>
      <c r="AB1088" s="243"/>
      <c r="AC1088" s="243"/>
      <c r="AD1088" s="243"/>
      <c r="AE1088" s="243"/>
    </row>
    <row r="1089">
      <c r="P1089" s="242"/>
      <c r="Q1089" s="207"/>
      <c r="U1089" s="243"/>
      <c r="V1089" s="243"/>
      <c r="W1089" s="243"/>
      <c r="X1089" s="243"/>
      <c r="Y1089" s="243"/>
      <c r="Z1089" s="243"/>
      <c r="AA1089" s="243"/>
      <c r="AB1089" s="243"/>
      <c r="AC1089" s="243"/>
      <c r="AD1089" s="243"/>
      <c r="AE1089" s="243"/>
    </row>
    <row r="1090">
      <c r="P1090" s="242"/>
      <c r="Q1090" s="207"/>
      <c r="U1090" s="243"/>
      <c r="V1090" s="243"/>
      <c r="W1090" s="243"/>
      <c r="X1090" s="243"/>
      <c r="Y1090" s="243"/>
      <c r="Z1090" s="243"/>
      <c r="AA1090" s="243"/>
      <c r="AB1090" s="243"/>
      <c r="AC1090" s="243"/>
      <c r="AD1090" s="243"/>
      <c r="AE1090" s="243"/>
    </row>
    <row r="1091">
      <c r="P1091" s="242"/>
      <c r="Q1091" s="207"/>
      <c r="U1091" s="243"/>
      <c r="V1091" s="243"/>
      <c r="W1091" s="243"/>
      <c r="X1091" s="243"/>
      <c r="Y1091" s="243"/>
      <c r="Z1091" s="243"/>
      <c r="AA1091" s="243"/>
      <c r="AB1091" s="243"/>
      <c r="AC1091" s="243"/>
      <c r="AD1091" s="243"/>
      <c r="AE1091" s="243"/>
    </row>
    <row r="1092">
      <c r="P1092" s="242"/>
      <c r="Q1092" s="207"/>
      <c r="U1092" s="243"/>
      <c r="V1092" s="243"/>
      <c r="W1092" s="243"/>
      <c r="X1092" s="243"/>
      <c r="Y1092" s="243"/>
      <c r="Z1092" s="243"/>
      <c r="AA1092" s="243"/>
      <c r="AB1092" s="243"/>
      <c r="AC1092" s="243"/>
      <c r="AD1092" s="243"/>
      <c r="AE1092" s="243"/>
    </row>
    <row r="1093">
      <c r="P1093" s="242"/>
      <c r="Q1093" s="207"/>
      <c r="U1093" s="243"/>
      <c r="V1093" s="243"/>
      <c r="W1093" s="243"/>
      <c r="X1093" s="243"/>
      <c r="Y1093" s="243"/>
      <c r="Z1093" s="243"/>
      <c r="AA1093" s="243"/>
      <c r="AB1093" s="243"/>
      <c r="AC1093" s="243"/>
      <c r="AD1093" s="243"/>
      <c r="AE1093" s="243"/>
    </row>
    <row r="1094">
      <c r="P1094" s="242"/>
      <c r="Q1094" s="207"/>
      <c r="U1094" s="243"/>
      <c r="V1094" s="243"/>
      <c r="W1094" s="243"/>
      <c r="X1094" s="243"/>
      <c r="Y1094" s="243"/>
      <c r="Z1094" s="243"/>
      <c r="AA1094" s="243"/>
      <c r="AB1094" s="243"/>
      <c r="AC1094" s="243"/>
      <c r="AD1094" s="243"/>
      <c r="AE1094" s="243"/>
    </row>
    <row r="1095">
      <c r="P1095" s="242"/>
      <c r="Q1095" s="207"/>
      <c r="U1095" s="243"/>
      <c r="V1095" s="243"/>
      <c r="W1095" s="243"/>
      <c r="X1095" s="243"/>
      <c r="Y1095" s="243"/>
      <c r="Z1095" s="243"/>
      <c r="AA1095" s="243"/>
      <c r="AB1095" s="243"/>
      <c r="AC1095" s="243"/>
      <c r="AD1095" s="243"/>
      <c r="AE1095" s="243"/>
    </row>
    <row r="1096">
      <c r="P1096" s="242"/>
      <c r="Q1096" s="207"/>
      <c r="U1096" s="243"/>
      <c r="V1096" s="243"/>
      <c r="W1096" s="243"/>
      <c r="X1096" s="243"/>
      <c r="Y1096" s="243"/>
      <c r="Z1096" s="243"/>
      <c r="AA1096" s="243"/>
      <c r="AB1096" s="243"/>
      <c r="AC1096" s="243"/>
      <c r="AD1096" s="243"/>
      <c r="AE1096" s="243"/>
    </row>
    <row r="1097">
      <c r="P1097" s="242"/>
      <c r="Q1097" s="207"/>
      <c r="U1097" s="243"/>
      <c r="V1097" s="243"/>
      <c r="W1097" s="243"/>
      <c r="X1097" s="243"/>
      <c r="Y1097" s="243"/>
      <c r="Z1097" s="243"/>
      <c r="AA1097" s="243"/>
      <c r="AB1097" s="243"/>
      <c r="AC1097" s="243"/>
      <c r="AD1097" s="243"/>
      <c r="AE1097" s="243"/>
    </row>
    <row r="1098">
      <c r="P1098" s="242"/>
      <c r="Q1098" s="207"/>
      <c r="U1098" s="243"/>
      <c r="V1098" s="243"/>
      <c r="W1098" s="243"/>
      <c r="X1098" s="243"/>
      <c r="Y1098" s="243"/>
      <c r="Z1098" s="243"/>
      <c r="AA1098" s="243"/>
      <c r="AB1098" s="243"/>
      <c r="AC1098" s="243"/>
      <c r="AD1098" s="243"/>
      <c r="AE1098" s="243"/>
    </row>
    <row r="1099">
      <c r="P1099" s="242"/>
      <c r="Q1099" s="207"/>
      <c r="U1099" s="243"/>
      <c r="V1099" s="243"/>
      <c r="W1099" s="243"/>
      <c r="X1099" s="243"/>
      <c r="Y1099" s="243"/>
      <c r="Z1099" s="243"/>
      <c r="AA1099" s="243"/>
      <c r="AB1099" s="243"/>
      <c r="AC1099" s="243"/>
      <c r="AD1099" s="243"/>
      <c r="AE1099" s="243"/>
    </row>
    <row r="1100">
      <c r="P1100" s="242"/>
      <c r="Q1100" s="207"/>
      <c r="U1100" s="243"/>
      <c r="V1100" s="243"/>
      <c r="W1100" s="243"/>
      <c r="X1100" s="243"/>
      <c r="Y1100" s="243"/>
      <c r="Z1100" s="243"/>
      <c r="AA1100" s="243"/>
      <c r="AB1100" s="243"/>
      <c r="AC1100" s="243"/>
      <c r="AD1100" s="243"/>
      <c r="AE1100" s="243"/>
    </row>
    <row r="1101">
      <c r="P1101" s="242"/>
      <c r="Q1101" s="207"/>
      <c r="U1101" s="243"/>
      <c r="V1101" s="243"/>
      <c r="W1101" s="243"/>
      <c r="X1101" s="243"/>
      <c r="Y1101" s="243"/>
      <c r="Z1101" s="243"/>
      <c r="AA1101" s="243"/>
      <c r="AB1101" s="243"/>
      <c r="AC1101" s="243"/>
      <c r="AD1101" s="243"/>
      <c r="AE1101" s="243"/>
    </row>
    <row r="1102">
      <c r="P1102" s="242"/>
      <c r="Q1102" s="207"/>
      <c r="U1102" s="243"/>
      <c r="V1102" s="243"/>
      <c r="W1102" s="243"/>
      <c r="X1102" s="243"/>
      <c r="Y1102" s="243"/>
      <c r="Z1102" s="243"/>
      <c r="AA1102" s="243"/>
      <c r="AB1102" s="243"/>
      <c r="AC1102" s="243"/>
      <c r="AD1102" s="243"/>
      <c r="AE1102" s="243"/>
    </row>
    <row r="1103">
      <c r="P1103" s="242"/>
      <c r="Q1103" s="207"/>
      <c r="U1103" s="243"/>
      <c r="V1103" s="243"/>
      <c r="W1103" s="243"/>
      <c r="X1103" s="243"/>
      <c r="Y1103" s="243"/>
      <c r="Z1103" s="243"/>
      <c r="AA1103" s="243"/>
      <c r="AB1103" s="243"/>
      <c r="AC1103" s="243"/>
      <c r="AD1103" s="243"/>
      <c r="AE1103" s="243"/>
    </row>
    <row r="1104">
      <c r="P1104" s="242"/>
      <c r="Q1104" s="207"/>
      <c r="U1104" s="243"/>
      <c r="V1104" s="243"/>
      <c r="W1104" s="243"/>
      <c r="X1104" s="243"/>
      <c r="Y1104" s="243"/>
      <c r="Z1104" s="243"/>
      <c r="AA1104" s="243"/>
      <c r="AB1104" s="243"/>
      <c r="AC1104" s="243"/>
      <c r="AD1104" s="243"/>
      <c r="AE1104" s="243"/>
    </row>
    <row r="1105">
      <c r="P1105" s="242"/>
      <c r="Q1105" s="207"/>
      <c r="U1105" s="243"/>
      <c r="V1105" s="243"/>
      <c r="W1105" s="243"/>
      <c r="X1105" s="243"/>
      <c r="Y1105" s="243"/>
      <c r="Z1105" s="243"/>
      <c r="AA1105" s="243"/>
      <c r="AB1105" s="243"/>
      <c r="AC1105" s="243"/>
      <c r="AD1105" s="243"/>
      <c r="AE1105" s="243"/>
    </row>
    <row r="1106">
      <c r="P1106" s="242"/>
      <c r="Q1106" s="207"/>
      <c r="U1106" s="243"/>
      <c r="V1106" s="243"/>
      <c r="W1106" s="243"/>
      <c r="X1106" s="243"/>
      <c r="Y1106" s="243"/>
      <c r="Z1106" s="243"/>
      <c r="AA1106" s="243"/>
      <c r="AB1106" s="243"/>
      <c r="AC1106" s="243"/>
      <c r="AD1106" s="243"/>
      <c r="AE1106" s="243"/>
    </row>
    <row r="1107">
      <c r="P1107" s="242"/>
      <c r="Q1107" s="207"/>
      <c r="U1107" s="243"/>
      <c r="V1107" s="243"/>
      <c r="W1107" s="243"/>
      <c r="X1107" s="243"/>
      <c r="Y1107" s="243"/>
      <c r="Z1107" s="243"/>
      <c r="AA1107" s="243"/>
      <c r="AB1107" s="243"/>
      <c r="AC1107" s="243"/>
      <c r="AD1107" s="243"/>
      <c r="AE1107" s="243"/>
    </row>
    <row r="1108">
      <c r="P1108" s="242"/>
      <c r="Q1108" s="207"/>
      <c r="U1108" s="243"/>
      <c r="V1108" s="243"/>
      <c r="W1108" s="243"/>
      <c r="X1108" s="243"/>
      <c r="Y1108" s="243"/>
      <c r="Z1108" s="243"/>
      <c r="AA1108" s="243"/>
      <c r="AB1108" s="243"/>
      <c r="AC1108" s="243"/>
      <c r="AD1108" s="243"/>
      <c r="AE1108" s="243"/>
    </row>
    <row r="1109">
      <c r="P1109" s="242"/>
      <c r="Q1109" s="207"/>
      <c r="U1109" s="243"/>
      <c r="V1109" s="243"/>
      <c r="W1109" s="243"/>
      <c r="X1109" s="243"/>
      <c r="Y1109" s="243"/>
      <c r="Z1109" s="243"/>
      <c r="AA1109" s="243"/>
      <c r="AB1109" s="243"/>
      <c r="AC1109" s="243"/>
      <c r="AD1109" s="243"/>
      <c r="AE1109" s="243"/>
    </row>
    <row r="1110">
      <c r="P1110" s="242"/>
      <c r="Q1110" s="207"/>
      <c r="U1110" s="243"/>
      <c r="V1110" s="243"/>
      <c r="W1110" s="243"/>
      <c r="X1110" s="243"/>
      <c r="Y1110" s="243"/>
      <c r="Z1110" s="243"/>
      <c r="AA1110" s="243"/>
      <c r="AB1110" s="243"/>
      <c r="AC1110" s="243"/>
      <c r="AD1110" s="243"/>
      <c r="AE1110" s="243"/>
    </row>
    <row r="1111">
      <c r="P1111" s="242"/>
      <c r="Q1111" s="207"/>
      <c r="U1111" s="243"/>
      <c r="V1111" s="243"/>
      <c r="W1111" s="243"/>
      <c r="X1111" s="243"/>
      <c r="Y1111" s="243"/>
      <c r="Z1111" s="243"/>
      <c r="AA1111" s="243"/>
      <c r="AB1111" s="243"/>
      <c r="AC1111" s="243"/>
      <c r="AD1111" s="243"/>
      <c r="AE1111" s="243"/>
    </row>
    <row r="1112">
      <c r="P1112" s="242"/>
      <c r="Q1112" s="207"/>
      <c r="U1112" s="243"/>
      <c r="V1112" s="243"/>
      <c r="W1112" s="243"/>
      <c r="X1112" s="243"/>
      <c r="Y1112" s="243"/>
      <c r="Z1112" s="243"/>
      <c r="AA1112" s="243"/>
      <c r="AB1112" s="243"/>
      <c r="AC1112" s="243"/>
      <c r="AD1112" s="243"/>
      <c r="AE1112" s="243"/>
    </row>
    <row r="1113">
      <c r="P1113" s="242"/>
      <c r="Q1113" s="207"/>
      <c r="U1113" s="243"/>
      <c r="V1113" s="243"/>
      <c r="W1113" s="243"/>
      <c r="X1113" s="243"/>
      <c r="Y1113" s="243"/>
      <c r="Z1113" s="243"/>
      <c r="AA1113" s="243"/>
      <c r="AB1113" s="243"/>
      <c r="AC1113" s="243"/>
      <c r="AD1113" s="243"/>
      <c r="AE1113" s="243"/>
    </row>
    <row r="1114">
      <c r="P1114" s="242"/>
      <c r="Q1114" s="207"/>
      <c r="U1114" s="243"/>
      <c r="V1114" s="243"/>
      <c r="W1114" s="243"/>
      <c r="X1114" s="243"/>
      <c r="Y1114" s="243"/>
      <c r="Z1114" s="243"/>
      <c r="AA1114" s="243"/>
      <c r="AB1114" s="243"/>
      <c r="AC1114" s="243"/>
      <c r="AD1114" s="243"/>
      <c r="AE1114" s="243"/>
    </row>
    <row r="1115">
      <c r="P1115" s="242"/>
      <c r="Q1115" s="207"/>
      <c r="U1115" s="243"/>
      <c r="V1115" s="243"/>
      <c r="W1115" s="243"/>
      <c r="X1115" s="243"/>
      <c r="Y1115" s="243"/>
      <c r="Z1115" s="243"/>
      <c r="AA1115" s="243"/>
      <c r="AB1115" s="243"/>
      <c r="AC1115" s="243"/>
      <c r="AD1115" s="243"/>
      <c r="AE1115" s="243"/>
    </row>
    <row r="1116">
      <c r="P1116" s="242"/>
      <c r="Q1116" s="207"/>
      <c r="U1116" s="243"/>
      <c r="V1116" s="243"/>
      <c r="W1116" s="243"/>
      <c r="X1116" s="243"/>
      <c r="Y1116" s="243"/>
      <c r="Z1116" s="243"/>
      <c r="AA1116" s="243"/>
      <c r="AB1116" s="243"/>
      <c r="AC1116" s="243"/>
      <c r="AD1116" s="243"/>
      <c r="AE1116" s="243"/>
    </row>
    <row r="1117">
      <c r="P1117" s="242"/>
      <c r="Q1117" s="207"/>
      <c r="U1117" s="243"/>
      <c r="V1117" s="243"/>
      <c r="W1117" s="243"/>
      <c r="X1117" s="243"/>
      <c r="Y1117" s="243"/>
      <c r="Z1117" s="243"/>
      <c r="AA1117" s="243"/>
      <c r="AB1117" s="243"/>
      <c r="AC1117" s="243"/>
      <c r="AD1117" s="243"/>
      <c r="AE1117" s="243"/>
    </row>
    <row r="1118">
      <c r="P1118" s="242"/>
      <c r="Q1118" s="207"/>
      <c r="U1118" s="243"/>
      <c r="V1118" s="243"/>
      <c r="W1118" s="243"/>
      <c r="X1118" s="243"/>
      <c r="Y1118" s="243"/>
      <c r="Z1118" s="243"/>
      <c r="AA1118" s="243"/>
      <c r="AB1118" s="243"/>
      <c r="AC1118" s="243"/>
      <c r="AD1118" s="243"/>
      <c r="AE1118" s="243"/>
    </row>
    <row r="1119">
      <c r="P1119" s="242"/>
      <c r="Q1119" s="207"/>
      <c r="U1119" s="243"/>
      <c r="V1119" s="243"/>
      <c r="W1119" s="243"/>
      <c r="X1119" s="243"/>
      <c r="Y1119" s="243"/>
      <c r="Z1119" s="243"/>
      <c r="AA1119" s="243"/>
      <c r="AB1119" s="243"/>
      <c r="AC1119" s="243"/>
      <c r="AD1119" s="243"/>
      <c r="AE1119" s="243"/>
    </row>
    <row r="1120">
      <c r="P1120" s="242"/>
      <c r="Q1120" s="207"/>
      <c r="U1120" s="243"/>
      <c r="V1120" s="243"/>
      <c r="W1120" s="243"/>
      <c r="X1120" s="243"/>
      <c r="Y1120" s="243"/>
      <c r="Z1120" s="243"/>
      <c r="AA1120" s="243"/>
      <c r="AB1120" s="243"/>
      <c r="AC1120" s="243"/>
      <c r="AD1120" s="243"/>
      <c r="AE1120" s="243"/>
    </row>
    <row r="1121">
      <c r="P1121" s="242"/>
      <c r="Q1121" s="207"/>
      <c r="U1121" s="243"/>
      <c r="V1121" s="243"/>
      <c r="W1121" s="243"/>
      <c r="X1121" s="243"/>
      <c r="Y1121" s="243"/>
      <c r="Z1121" s="243"/>
      <c r="AA1121" s="243"/>
      <c r="AB1121" s="243"/>
      <c r="AC1121" s="243"/>
      <c r="AD1121" s="243"/>
      <c r="AE1121" s="243"/>
    </row>
    <row r="1122">
      <c r="P1122" s="242"/>
      <c r="Q1122" s="207"/>
      <c r="U1122" s="243"/>
      <c r="V1122" s="243"/>
      <c r="W1122" s="243"/>
      <c r="X1122" s="243"/>
      <c r="Y1122" s="243"/>
      <c r="Z1122" s="243"/>
      <c r="AA1122" s="243"/>
      <c r="AB1122" s="243"/>
      <c r="AC1122" s="243"/>
      <c r="AD1122" s="243"/>
      <c r="AE1122" s="243"/>
    </row>
    <row r="1123">
      <c r="P1123" s="242"/>
      <c r="Q1123" s="207"/>
      <c r="U1123" s="243"/>
      <c r="V1123" s="243"/>
      <c r="W1123" s="243"/>
      <c r="X1123" s="243"/>
      <c r="Y1123" s="243"/>
      <c r="Z1123" s="243"/>
      <c r="AA1123" s="243"/>
      <c r="AB1123" s="243"/>
      <c r="AC1123" s="243"/>
      <c r="AD1123" s="243"/>
      <c r="AE1123" s="243"/>
    </row>
    <row r="1124">
      <c r="P1124" s="242"/>
      <c r="Q1124" s="207"/>
      <c r="U1124" s="243"/>
      <c r="V1124" s="243"/>
      <c r="W1124" s="243"/>
      <c r="X1124" s="243"/>
      <c r="Y1124" s="243"/>
      <c r="Z1124" s="243"/>
      <c r="AA1124" s="243"/>
      <c r="AB1124" s="243"/>
      <c r="AC1124" s="243"/>
      <c r="AD1124" s="243"/>
      <c r="AE1124" s="243"/>
    </row>
    <row r="1125">
      <c r="P1125" s="242"/>
      <c r="Q1125" s="207"/>
      <c r="U1125" s="243"/>
      <c r="V1125" s="243"/>
      <c r="W1125" s="243"/>
      <c r="X1125" s="243"/>
      <c r="Y1125" s="243"/>
      <c r="Z1125" s="243"/>
      <c r="AA1125" s="243"/>
      <c r="AB1125" s="243"/>
      <c r="AC1125" s="243"/>
      <c r="AD1125" s="243"/>
      <c r="AE1125" s="243"/>
    </row>
    <row r="1126">
      <c r="P1126" s="242"/>
      <c r="Q1126" s="207"/>
      <c r="U1126" s="243"/>
      <c r="V1126" s="243"/>
      <c r="W1126" s="243"/>
      <c r="X1126" s="243"/>
      <c r="Y1126" s="243"/>
      <c r="Z1126" s="243"/>
      <c r="AA1126" s="243"/>
      <c r="AB1126" s="243"/>
      <c r="AC1126" s="243"/>
      <c r="AD1126" s="243"/>
      <c r="AE1126" s="243"/>
    </row>
    <row r="1127">
      <c r="P1127" s="242"/>
      <c r="Q1127" s="207"/>
      <c r="U1127" s="243"/>
      <c r="V1127" s="243"/>
      <c r="W1127" s="243"/>
      <c r="X1127" s="243"/>
      <c r="Y1127" s="243"/>
      <c r="Z1127" s="243"/>
      <c r="AA1127" s="243"/>
      <c r="AB1127" s="243"/>
      <c r="AC1127" s="243"/>
      <c r="AD1127" s="243"/>
      <c r="AE1127" s="243"/>
    </row>
    <row r="1128">
      <c r="P1128" s="242"/>
      <c r="Q1128" s="207"/>
      <c r="U1128" s="243"/>
      <c r="V1128" s="243"/>
      <c r="W1128" s="243"/>
      <c r="X1128" s="243"/>
      <c r="Y1128" s="243"/>
      <c r="Z1128" s="243"/>
      <c r="AA1128" s="243"/>
      <c r="AB1128" s="243"/>
      <c r="AC1128" s="243"/>
      <c r="AD1128" s="243"/>
      <c r="AE1128" s="243"/>
    </row>
    <row r="1129">
      <c r="P1129" s="242"/>
      <c r="Q1129" s="207"/>
      <c r="U1129" s="243"/>
      <c r="V1129" s="243"/>
      <c r="W1129" s="243"/>
      <c r="X1129" s="243"/>
      <c r="Y1129" s="243"/>
      <c r="Z1129" s="243"/>
      <c r="AA1129" s="243"/>
      <c r="AB1129" s="243"/>
      <c r="AC1129" s="243"/>
      <c r="AD1129" s="243"/>
      <c r="AE1129" s="243"/>
    </row>
    <row r="1130">
      <c r="P1130" s="242"/>
      <c r="Q1130" s="207"/>
      <c r="U1130" s="243"/>
      <c r="V1130" s="243"/>
      <c r="W1130" s="243"/>
      <c r="X1130" s="243"/>
      <c r="Y1130" s="243"/>
      <c r="Z1130" s="243"/>
      <c r="AA1130" s="243"/>
      <c r="AB1130" s="243"/>
      <c r="AC1130" s="243"/>
      <c r="AD1130" s="243"/>
      <c r="AE1130" s="243"/>
    </row>
    <row r="1131">
      <c r="P1131" s="242"/>
      <c r="Q1131" s="207"/>
      <c r="U1131" s="243"/>
      <c r="V1131" s="243"/>
      <c r="W1131" s="243"/>
      <c r="X1131" s="243"/>
      <c r="Y1131" s="243"/>
      <c r="Z1131" s="243"/>
      <c r="AA1131" s="243"/>
      <c r="AB1131" s="243"/>
      <c r="AC1131" s="243"/>
      <c r="AD1131" s="243"/>
      <c r="AE1131" s="243"/>
    </row>
    <row r="1132">
      <c r="P1132" s="242"/>
      <c r="Q1132" s="207"/>
      <c r="U1132" s="243"/>
      <c r="V1132" s="243"/>
      <c r="W1132" s="243"/>
      <c r="X1132" s="243"/>
      <c r="Y1132" s="243"/>
      <c r="Z1132" s="243"/>
      <c r="AA1132" s="243"/>
      <c r="AB1132" s="243"/>
      <c r="AC1132" s="243"/>
      <c r="AD1132" s="243"/>
      <c r="AE1132" s="243"/>
    </row>
    <row r="1133">
      <c r="P1133" s="242"/>
      <c r="Q1133" s="207"/>
      <c r="U1133" s="243"/>
      <c r="V1133" s="243"/>
      <c r="W1133" s="243"/>
      <c r="X1133" s="243"/>
      <c r="Y1133" s="243"/>
      <c r="Z1133" s="243"/>
      <c r="AA1133" s="243"/>
      <c r="AB1133" s="243"/>
      <c r="AC1133" s="243"/>
      <c r="AD1133" s="243"/>
      <c r="AE1133" s="243"/>
    </row>
    <row r="1134">
      <c r="P1134" s="242"/>
      <c r="Q1134" s="207"/>
      <c r="U1134" s="243"/>
      <c r="V1134" s="243"/>
      <c r="W1134" s="243"/>
      <c r="X1134" s="243"/>
      <c r="Y1134" s="243"/>
      <c r="Z1134" s="243"/>
      <c r="AA1134" s="243"/>
      <c r="AB1134" s="243"/>
      <c r="AC1134" s="243"/>
      <c r="AD1134" s="243"/>
      <c r="AE1134" s="243"/>
    </row>
    <row r="1135">
      <c r="P1135" s="242"/>
      <c r="Q1135" s="207"/>
      <c r="U1135" s="243"/>
      <c r="V1135" s="243"/>
      <c r="W1135" s="243"/>
      <c r="X1135" s="243"/>
      <c r="Y1135" s="243"/>
      <c r="Z1135" s="243"/>
      <c r="AA1135" s="243"/>
      <c r="AB1135" s="243"/>
      <c r="AC1135" s="243"/>
      <c r="AD1135" s="243"/>
      <c r="AE1135" s="243"/>
    </row>
    <row r="1136">
      <c r="P1136" s="242"/>
      <c r="Q1136" s="207"/>
      <c r="U1136" s="243"/>
      <c r="V1136" s="243"/>
      <c r="W1136" s="243"/>
      <c r="X1136" s="243"/>
      <c r="Y1136" s="243"/>
      <c r="Z1136" s="243"/>
      <c r="AA1136" s="243"/>
      <c r="AB1136" s="243"/>
      <c r="AC1136" s="243"/>
      <c r="AD1136" s="243"/>
      <c r="AE1136" s="243"/>
    </row>
    <row r="1137">
      <c r="P1137" s="242"/>
      <c r="Q1137" s="207"/>
      <c r="U1137" s="243"/>
      <c r="V1137" s="243"/>
      <c r="W1137" s="243"/>
      <c r="X1137" s="243"/>
      <c r="Y1137" s="243"/>
      <c r="Z1137" s="243"/>
      <c r="AA1137" s="243"/>
      <c r="AB1137" s="243"/>
      <c r="AC1137" s="243"/>
      <c r="AD1137" s="243"/>
      <c r="AE1137" s="243"/>
    </row>
    <row r="1138">
      <c r="P1138" s="242"/>
      <c r="Q1138" s="207"/>
      <c r="U1138" s="243"/>
      <c r="V1138" s="243"/>
      <c r="W1138" s="243"/>
      <c r="X1138" s="243"/>
      <c r="Y1138" s="243"/>
      <c r="Z1138" s="243"/>
      <c r="AA1138" s="243"/>
      <c r="AB1138" s="243"/>
      <c r="AC1138" s="243"/>
      <c r="AD1138" s="243"/>
      <c r="AE1138" s="243"/>
    </row>
    <row r="1139">
      <c r="P1139" s="242"/>
      <c r="Q1139" s="207"/>
      <c r="U1139" s="243"/>
      <c r="V1139" s="243"/>
      <c r="W1139" s="243"/>
      <c r="X1139" s="243"/>
      <c r="Y1139" s="243"/>
      <c r="Z1139" s="243"/>
      <c r="AA1139" s="243"/>
      <c r="AB1139" s="243"/>
      <c r="AC1139" s="243"/>
      <c r="AD1139" s="243"/>
      <c r="AE1139" s="243"/>
    </row>
    <row r="1140">
      <c r="P1140" s="242"/>
      <c r="Q1140" s="207"/>
      <c r="U1140" s="243"/>
      <c r="V1140" s="243"/>
      <c r="W1140" s="243"/>
      <c r="X1140" s="243"/>
      <c r="Y1140" s="243"/>
      <c r="Z1140" s="243"/>
      <c r="AA1140" s="243"/>
      <c r="AB1140" s="243"/>
      <c r="AC1140" s="243"/>
      <c r="AD1140" s="243"/>
      <c r="AE1140" s="243"/>
    </row>
    <row r="1141">
      <c r="P1141" s="242"/>
      <c r="Q1141" s="207"/>
      <c r="U1141" s="243"/>
      <c r="V1141" s="243"/>
      <c r="W1141" s="243"/>
      <c r="X1141" s="243"/>
      <c r="Y1141" s="243"/>
      <c r="Z1141" s="243"/>
      <c r="AA1141" s="243"/>
      <c r="AB1141" s="243"/>
      <c r="AC1141" s="243"/>
      <c r="AD1141" s="243"/>
      <c r="AE1141" s="243"/>
    </row>
    <row r="1142">
      <c r="P1142" s="242"/>
      <c r="Q1142" s="207"/>
      <c r="U1142" s="243"/>
      <c r="V1142" s="243"/>
      <c r="W1142" s="243"/>
      <c r="X1142" s="243"/>
      <c r="Y1142" s="243"/>
      <c r="Z1142" s="243"/>
      <c r="AA1142" s="243"/>
      <c r="AB1142" s="243"/>
      <c r="AC1142" s="243"/>
      <c r="AD1142" s="243"/>
      <c r="AE1142" s="243"/>
    </row>
    <row r="1143">
      <c r="P1143" s="242"/>
      <c r="Q1143" s="207"/>
      <c r="U1143" s="243"/>
      <c r="V1143" s="243"/>
      <c r="W1143" s="243"/>
      <c r="X1143" s="243"/>
      <c r="Y1143" s="243"/>
      <c r="Z1143" s="243"/>
      <c r="AA1143" s="243"/>
      <c r="AB1143" s="243"/>
      <c r="AC1143" s="243"/>
      <c r="AD1143" s="243"/>
      <c r="AE1143" s="243"/>
    </row>
    <row r="1144">
      <c r="P1144" s="242"/>
      <c r="Q1144" s="207"/>
      <c r="U1144" s="243"/>
      <c r="V1144" s="243"/>
      <c r="W1144" s="243"/>
      <c r="X1144" s="243"/>
      <c r="Y1144" s="243"/>
      <c r="Z1144" s="243"/>
      <c r="AA1144" s="243"/>
      <c r="AB1144" s="243"/>
      <c r="AC1144" s="243"/>
      <c r="AD1144" s="243"/>
      <c r="AE1144" s="243"/>
    </row>
    <row r="1145">
      <c r="P1145" s="242"/>
      <c r="Q1145" s="207"/>
      <c r="U1145" s="243"/>
      <c r="V1145" s="243"/>
      <c r="W1145" s="243"/>
      <c r="X1145" s="243"/>
      <c r="Y1145" s="243"/>
      <c r="Z1145" s="243"/>
      <c r="AA1145" s="243"/>
      <c r="AB1145" s="243"/>
      <c r="AC1145" s="243"/>
      <c r="AD1145" s="243"/>
      <c r="AE1145" s="243"/>
    </row>
    <row r="1146">
      <c r="P1146" s="242"/>
      <c r="Q1146" s="207"/>
      <c r="U1146" s="243"/>
      <c r="V1146" s="243"/>
      <c r="W1146" s="243"/>
      <c r="X1146" s="243"/>
      <c r="Y1146" s="243"/>
      <c r="Z1146" s="243"/>
      <c r="AA1146" s="243"/>
      <c r="AB1146" s="243"/>
      <c r="AC1146" s="243"/>
      <c r="AD1146" s="243"/>
      <c r="AE1146" s="243"/>
    </row>
    <row r="1147">
      <c r="P1147" s="242"/>
      <c r="Q1147" s="207"/>
      <c r="U1147" s="243"/>
      <c r="V1147" s="243"/>
      <c r="W1147" s="243"/>
      <c r="X1147" s="243"/>
      <c r="Y1147" s="243"/>
      <c r="Z1147" s="243"/>
      <c r="AA1147" s="243"/>
      <c r="AB1147" s="243"/>
      <c r="AC1147" s="243"/>
      <c r="AD1147" s="243"/>
      <c r="AE1147" s="243"/>
    </row>
    <row r="1148">
      <c r="P1148" s="242"/>
      <c r="Q1148" s="207"/>
      <c r="U1148" s="243"/>
      <c r="V1148" s="243"/>
      <c r="W1148" s="243"/>
      <c r="X1148" s="243"/>
      <c r="Y1148" s="243"/>
      <c r="Z1148" s="243"/>
      <c r="AA1148" s="243"/>
      <c r="AB1148" s="243"/>
      <c r="AC1148" s="243"/>
      <c r="AD1148" s="243"/>
      <c r="AE1148" s="243"/>
    </row>
    <row r="1149">
      <c r="P1149" s="242"/>
      <c r="Q1149" s="207"/>
      <c r="U1149" s="243"/>
      <c r="V1149" s="243"/>
      <c r="W1149" s="243"/>
      <c r="X1149" s="243"/>
      <c r="Y1149" s="243"/>
      <c r="Z1149" s="243"/>
      <c r="AA1149" s="243"/>
      <c r="AB1149" s="243"/>
      <c r="AC1149" s="243"/>
      <c r="AD1149" s="243"/>
      <c r="AE1149" s="243"/>
    </row>
    <row r="1150">
      <c r="P1150" s="242"/>
      <c r="Q1150" s="207"/>
      <c r="U1150" s="243"/>
      <c r="V1150" s="243"/>
      <c r="W1150" s="243"/>
      <c r="X1150" s="243"/>
      <c r="Y1150" s="243"/>
      <c r="Z1150" s="243"/>
      <c r="AA1150" s="243"/>
      <c r="AB1150" s="243"/>
      <c r="AC1150" s="243"/>
      <c r="AD1150" s="243"/>
      <c r="AE1150" s="243"/>
    </row>
    <row r="1151">
      <c r="P1151" s="242"/>
      <c r="Q1151" s="207"/>
      <c r="U1151" s="243"/>
      <c r="V1151" s="243"/>
      <c r="W1151" s="243"/>
      <c r="X1151" s="243"/>
      <c r="Y1151" s="243"/>
      <c r="Z1151" s="243"/>
      <c r="AA1151" s="243"/>
      <c r="AB1151" s="243"/>
      <c r="AC1151" s="243"/>
      <c r="AD1151" s="243"/>
      <c r="AE1151" s="243"/>
    </row>
    <row r="1152">
      <c r="P1152" s="242"/>
      <c r="Q1152" s="207"/>
      <c r="U1152" s="243"/>
      <c r="V1152" s="243"/>
      <c r="W1152" s="243"/>
      <c r="X1152" s="243"/>
      <c r="Y1152" s="243"/>
      <c r="Z1152" s="243"/>
      <c r="AA1152" s="243"/>
      <c r="AB1152" s="243"/>
      <c r="AC1152" s="243"/>
      <c r="AD1152" s="243"/>
      <c r="AE1152" s="243"/>
    </row>
    <row r="1153">
      <c r="P1153" s="242"/>
      <c r="Q1153" s="207"/>
      <c r="U1153" s="243"/>
      <c r="V1153" s="243"/>
      <c r="W1153" s="243"/>
      <c r="X1153" s="243"/>
      <c r="Y1153" s="243"/>
      <c r="Z1153" s="243"/>
      <c r="AA1153" s="243"/>
      <c r="AB1153" s="243"/>
      <c r="AC1153" s="243"/>
      <c r="AD1153" s="243"/>
      <c r="AE1153" s="243"/>
    </row>
    <row r="1154">
      <c r="P1154" s="242"/>
      <c r="Q1154" s="207"/>
      <c r="U1154" s="243"/>
      <c r="V1154" s="243"/>
      <c r="W1154" s="243"/>
      <c r="X1154" s="243"/>
      <c r="Y1154" s="243"/>
      <c r="Z1154" s="243"/>
      <c r="AA1154" s="243"/>
      <c r="AB1154" s="243"/>
      <c r="AC1154" s="243"/>
      <c r="AD1154" s="243"/>
      <c r="AE1154" s="243"/>
    </row>
    <row r="1155">
      <c r="P1155" s="242"/>
      <c r="Q1155" s="207"/>
      <c r="U1155" s="243"/>
      <c r="V1155" s="243"/>
      <c r="W1155" s="243"/>
      <c r="X1155" s="243"/>
      <c r="Y1155" s="243"/>
      <c r="Z1155" s="243"/>
      <c r="AA1155" s="243"/>
      <c r="AB1155" s="243"/>
      <c r="AC1155" s="243"/>
      <c r="AD1155" s="243"/>
      <c r="AE1155" s="243"/>
    </row>
    <row r="1156">
      <c r="P1156" s="242"/>
      <c r="Q1156" s="207"/>
      <c r="U1156" s="243"/>
      <c r="V1156" s="243"/>
      <c r="W1156" s="243"/>
      <c r="X1156" s="243"/>
      <c r="Y1156" s="243"/>
      <c r="Z1156" s="243"/>
      <c r="AA1156" s="243"/>
      <c r="AB1156" s="243"/>
      <c r="AC1156" s="243"/>
      <c r="AD1156" s="243"/>
      <c r="AE1156" s="243"/>
    </row>
    <row r="1157">
      <c r="P1157" s="242"/>
      <c r="Q1157" s="207"/>
      <c r="U1157" s="243"/>
      <c r="V1157" s="243"/>
      <c r="W1157" s="243"/>
      <c r="X1157" s="243"/>
      <c r="Y1157" s="243"/>
      <c r="Z1157" s="243"/>
      <c r="AA1157" s="243"/>
      <c r="AB1157" s="243"/>
      <c r="AC1157" s="243"/>
      <c r="AD1157" s="243"/>
      <c r="AE1157" s="243"/>
    </row>
    <row r="1158">
      <c r="P1158" s="242"/>
      <c r="Q1158" s="207"/>
      <c r="U1158" s="243"/>
      <c r="V1158" s="243"/>
      <c r="W1158" s="243"/>
      <c r="X1158" s="243"/>
      <c r="Y1158" s="243"/>
      <c r="Z1158" s="243"/>
      <c r="AA1158" s="243"/>
      <c r="AB1158" s="243"/>
      <c r="AC1158" s="243"/>
      <c r="AD1158" s="243"/>
      <c r="AE1158" s="243"/>
    </row>
    <row r="1159">
      <c r="P1159" s="242"/>
      <c r="Q1159" s="207"/>
      <c r="U1159" s="243"/>
      <c r="V1159" s="243"/>
      <c r="W1159" s="243"/>
      <c r="X1159" s="243"/>
      <c r="Y1159" s="243"/>
      <c r="Z1159" s="243"/>
      <c r="AA1159" s="243"/>
      <c r="AB1159" s="243"/>
      <c r="AC1159" s="243"/>
      <c r="AD1159" s="243"/>
      <c r="AE1159" s="243"/>
    </row>
    <row r="1160">
      <c r="P1160" s="242"/>
      <c r="Q1160" s="207"/>
      <c r="U1160" s="243"/>
      <c r="V1160" s="243"/>
      <c r="W1160" s="243"/>
      <c r="X1160" s="243"/>
      <c r="Y1160" s="243"/>
      <c r="Z1160" s="243"/>
      <c r="AA1160" s="243"/>
      <c r="AB1160" s="243"/>
      <c r="AC1160" s="243"/>
      <c r="AD1160" s="243"/>
      <c r="AE1160" s="243"/>
    </row>
    <row r="1161">
      <c r="P1161" s="242"/>
      <c r="Q1161" s="207"/>
      <c r="U1161" s="243"/>
      <c r="V1161" s="243"/>
      <c r="W1161" s="243"/>
      <c r="X1161" s="243"/>
      <c r="Y1161" s="243"/>
      <c r="Z1161" s="243"/>
      <c r="AA1161" s="243"/>
      <c r="AB1161" s="243"/>
      <c r="AC1161" s="243"/>
      <c r="AD1161" s="243"/>
      <c r="AE1161" s="243"/>
    </row>
    <row r="1162">
      <c r="P1162" s="242"/>
      <c r="Q1162" s="207"/>
      <c r="U1162" s="243"/>
      <c r="V1162" s="243"/>
      <c r="W1162" s="243"/>
      <c r="X1162" s="243"/>
      <c r="Y1162" s="243"/>
      <c r="Z1162" s="243"/>
      <c r="AA1162" s="243"/>
      <c r="AB1162" s="243"/>
      <c r="AC1162" s="243"/>
      <c r="AD1162" s="243"/>
      <c r="AE1162" s="243"/>
    </row>
    <row r="1163">
      <c r="P1163" s="242"/>
      <c r="Q1163" s="207"/>
      <c r="U1163" s="243"/>
      <c r="V1163" s="243"/>
      <c r="W1163" s="243"/>
      <c r="X1163" s="243"/>
      <c r="Y1163" s="243"/>
      <c r="Z1163" s="243"/>
      <c r="AA1163" s="243"/>
      <c r="AB1163" s="243"/>
      <c r="AC1163" s="243"/>
      <c r="AD1163" s="243"/>
      <c r="AE1163" s="243"/>
    </row>
    <row r="1164">
      <c r="P1164" s="242"/>
      <c r="Q1164" s="207"/>
      <c r="U1164" s="243"/>
      <c r="V1164" s="243"/>
      <c r="W1164" s="243"/>
      <c r="X1164" s="243"/>
      <c r="Y1164" s="243"/>
      <c r="Z1164" s="243"/>
      <c r="AA1164" s="243"/>
      <c r="AB1164" s="243"/>
      <c r="AC1164" s="243"/>
      <c r="AD1164" s="243"/>
      <c r="AE1164" s="243"/>
    </row>
    <row r="1165">
      <c r="P1165" s="242"/>
      <c r="Q1165" s="207"/>
      <c r="U1165" s="243"/>
      <c r="V1165" s="243"/>
      <c r="W1165" s="243"/>
      <c r="X1165" s="243"/>
      <c r="Y1165" s="243"/>
      <c r="Z1165" s="243"/>
      <c r="AA1165" s="243"/>
      <c r="AB1165" s="243"/>
      <c r="AC1165" s="243"/>
      <c r="AD1165" s="243"/>
      <c r="AE1165" s="243"/>
    </row>
    <row r="1166">
      <c r="P1166" s="242"/>
      <c r="Q1166" s="207"/>
      <c r="U1166" s="243"/>
      <c r="V1166" s="243"/>
      <c r="W1166" s="243"/>
      <c r="X1166" s="243"/>
      <c r="Y1166" s="243"/>
      <c r="Z1166" s="243"/>
      <c r="AA1166" s="243"/>
      <c r="AB1166" s="243"/>
      <c r="AC1166" s="243"/>
      <c r="AD1166" s="243"/>
      <c r="AE1166" s="243"/>
    </row>
    <row r="1167">
      <c r="P1167" s="242"/>
      <c r="Q1167" s="207"/>
      <c r="U1167" s="243"/>
      <c r="V1167" s="243"/>
      <c r="W1167" s="243"/>
      <c r="X1167" s="243"/>
      <c r="Y1167" s="243"/>
      <c r="Z1167" s="243"/>
      <c r="AA1167" s="243"/>
      <c r="AB1167" s="243"/>
      <c r="AC1167" s="243"/>
      <c r="AD1167" s="243"/>
      <c r="AE1167" s="243"/>
    </row>
    <row r="1168">
      <c r="P1168" s="242"/>
      <c r="Q1168" s="207"/>
      <c r="U1168" s="243"/>
      <c r="V1168" s="243"/>
      <c r="W1168" s="243"/>
      <c r="X1168" s="243"/>
      <c r="Y1168" s="243"/>
      <c r="Z1168" s="243"/>
      <c r="AA1168" s="243"/>
      <c r="AB1168" s="243"/>
      <c r="AC1168" s="243"/>
      <c r="AD1168" s="243"/>
      <c r="AE1168" s="243"/>
    </row>
    <row r="1169">
      <c r="P1169" s="242"/>
      <c r="Q1169" s="207"/>
      <c r="U1169" s="243"/>
      <c r="V1169" s="243"/>
      <c r="W1169" s="243"/>
      <c r="X1169" s="243"/>
      <c r="Y1169" s="243"/>
      <c r="Z1169" s="243"/>
      <c r="AA1169" s="243"/>
      <c r="AB1169" s="243"/>
      <c r="AC1169" s="243"/>
      <c r="AD1169" s="243"/>
      <c r="AE1169" s="243"/>
    </row>
    <row r="1170">
      <c r="P1170" s="242"/>
      <c r="Q1170" s="207"/>
      <c r="U1170" s="243"/>
      <c r="V1170" s="243"/>
      <c r="W1170" s="243"/>
      <c r="X1170" s="243"/>
      <c r="Y1170" s="243"/>
      <c r="Z1170" s="243"/>
      <c r="AA1170" s="243"/>
      <c r="AB1170" s="243"/>
      <c r="AC1170" s="243"/>
      <c r="AD1170" s="243"/>
      <c r="AE1170" s="243"/>
    </row>
    <row r="1171">
      <c r="P1171" s="242"/>
      <c r="Q1171" s="207"/>
      <c r="U1171" s="243"/>
      <c r="V1171" s="243"/>
      <c r="W1171" s="243"/>
      <c r="X1171" s="243"/>
      <c r="Y1171" s="243"/>
      <c r="Z1171" s="243"/>
      <c r="AA1171" s="243"/>
      <c r="AB1171" s="243"/>
      <c r="AC1171" s="243"/>
      <c r="AD1171" s="243"/>
      <c r="AE1171" s="243"/>
    </row>
    <row r="1172">
      <c r="P1172" s="242"/>
      <c r="Q1172" s="207"/>
      <c r="U1172" s="243"/>
      <c r="V1172" s="243"/>
      <c r="W1172" s="243"/>
      <c r="X1172" s="243"/>
      <c r="Y1172" s="243"/>
      <c r="Z1172" s="243"/>
      <c r="AA1172" s="243"/>
      <c r="AB1172" s="243"/>
      <c r="AC1172" s="243"/>
      <c r="AD1172" s="243"/>
      <c r="AE1172" s="243"/>
    </row>
    <row r="1173">
      <c r="P1173" s="242"/>
      <c r="Q1173" s="207"/>
      <c r="U1173" s="243"/>
      <c r="V1173" s="243"/>
      <c r="W1173" s="243"/>
      <c r="X1173" s="243"/>
      <c r="Y1173" s="243"/>
      <c r="Z1173" s="243"/>
      <c r="AA1173" s="243"/>
      <c r="AB1173" s="243"/>
      <c r="AC1173" s="243"/>
      <c r="AD1173" s="243"/>
      <c r="AE1173" s="243"/>
    </row>
    <row r="1174">
      <c r="P1174" s="242"/>
      <c r="Q1174" s="207"/>
      <c r="U1174" s="243"/>
      <c r="V1174" s="243"/>
      <c r="W1174" s="243"/>
      <c r="X1174" s="243"/>
      <c r="Y1174" s="243"/>
      <c r="Z1174" s="243"/>
      <c r="AA1174" s="243"/>
      <c r="AB1174" s="243"/>
      <c r="AC1174" s="243"/>
      <c r="AD1174" s="243"/>
      <c r="AE1174" s="243"/>
    </row>
    <row r="1175">
      <c r="P1175" s="242"/>
      <c r="Q1175" s="207"/>
      <c r="U1175" s="243"/>
      <c r="V1175" s="243"/>
      <c r="W1175" s="243"/>
      <c r="X1175" s="243"/>
      <c r="Y1175" s="243"/>
      <c r="Z1175" s="243"/>
      <c r="AA1175" s="243"/>
      <c r="AB1175" s="243"/>
      <c r="AC1175" s="243"/>
      <c r="AD1175" s="243"/>
      <c r="AE1175" s="243"/>
    </row>
    <row r="1176">
      <c r="P1176" s="242"/>
      <c r="Q1176" s="207"/>
      <c r="U1176" s="243"/>
      <c r="V1176" s="243"/>
      <c r="W1176" s="243"/>
      <c r="X1176" s="243"/>
      <c r="Y1176" s="243"/>
      <c r="Z1176" s="243"/>
      <c r="AA1176" s="243"/>
      <c r="AB1176" s="243"/>
      <c r="AC1176" s="243"/>
      <c r="AD1176" s="243"/>
      <c r="AE1176" s="243"/>
    </row>
    <row r="1177">
      <c r="P1177" s="242"/>
      <c r="Q1177" s="207"/>
      <c r="U1177" s="243"/>
      <c r="V1177" s="243"/>
      <c r="W1177" s="243"/>
      <c r="X1177" s="243"/>
      <c r="Y1177" s="243"/>
      <c r="Z1177" s="243"/>
      <c r="AA1177" s="243"/>
      <c r="AB1177" s="243"/>
      <c r="AC1177" s="243"/>
      <c r="AD1177" s="243"/>
      <c r="AE1177" s="243"/>
    </row>
    <row r="1178">
      <c r="P1178" s="242"/>
      <c r="Q1178" s="207"/>
      <c r="U1178" s="243"/>
      <c r="V1178" s="243"/>
      <c r="W1178" s="243"/>
      <c r="X1178" s="243"/>
      <c r="Y1178" s="243"/>
      <c r="Z1178" s="243"/>
      <c r="AA1178" s="243"/>
      <c r="AB1178" s="243"/>
      <c r="AC1178" s="243"/>
      <c r="AD1178" s="243"/>
      <c r="AE1178" s="243"/>
    </row>
    <row r="1179">
      <c r="P1179" s="242"/>
      <c r="Q1179" s="207"/>
      <c r="U1179" s="243"/>
      <c r="V1179" s="243"/>
      <c r="W1179" s="243"/>
      <c r="X1179" s="243"/>
      <c r="Y1179" s="243"/>
      <c r="Z1179" s="243"/>
      <c r="AA1179" s="243"/>
      <c r="AB1179" s="243"/>
      <c r="AC1179" s="243"/>
      <c r="AD1179" s="243"/>
      <c r="AE1179" s="243"/>
    </row>
    <row r="1180">
      <c r="P1180" s="242"/>
      <c r="Q1180" s="207"/>
      <c r="U1180" s="243"/>
      <c r="V1180" s="243"/>
      <c r="W1180" s="243"/>
      <c r="X1180" s="243"/>
      <c r="Y1180" s="243"/>
      <c r="Z1180" s="243"/>
      <c r="AA1180" s="243"/>
      <c r="AB1180" s="243"/>
      <c r="AC1180" s="243"/>
      <c r="AD1180" s="243"/>
      <c r="AE1180" s="243"/>
    </row>
    <row r="1181">
      <c r="P1181" s="242"/>
      <c r="Q1181" s="207"/>
      <c r="U1181" s="243"/>
      <c r="V1181" s="243"/>
      <c r="W1181" s="243"/>
      <c r="X1181" s="243"/>
      <c r="Y1181" s="243"/>
      <c r="Z1181" s="243"/>
      <c r="AA1181" s="243"/>
      <c r="AB1181" s="243"/>
      <c r="AC1181" s="243"/>
      <c r="AD1181" s="243"/>
      <c r="AE1181" s="243"/>
    </row>
    <row r="1182">
      <c r="P1182" s="242"/>
      <c r="Q1182" s="207"/>
      <c r="U1182" s="243"/>
      <c r="V1182" s="243"/>
      <c r="W1182" s="243"/>
      <c r="X1182" s="243"/>
      <c r="Y1182" s="243"/>
      <c r="Z1182" s="243"/>
      <c r="AA1182" s="243"/>
      <c r="AB1182" s="243"/>
      <c r="AC1182" s="243"/>
      <c r="AD1182" s="243"/>
      <c r="AE1182" s="243"/>
    </row>
    <row r="1183">
      <c r="P1183" s="242"/>
      <c r="Q1183" s="207"/>
      <c r="U1183" s="243"/>
      <c r="V1183" s="243"/>
      <c r="W1183" s="243"/>
      <c r="X1183" s="243"/>
      <c r="Y1183" s="243"/>
      <c r="Z1183" s="243"/>
      <c r="AA1183" s="243"/>
      <c r="AB1183" s="243"/>
      <c r="AC1183" s="243"/>
      <c r="AD1183" s="243"/>
      <c r="AE1183" s="243"/>
    </row>
    <row r="1184">
      <c r="P1184" s="242"/>
      <c r="Q1184" s="207"/>
      <c r="U1184" s="243"/>
      <c r="V1184" s="243"/>
      <c r="W1184" s="243"/>
      <c r="X1184" s="243"/>
      <c r="Y1184" s="243"/>
      <c r="Z1184" s="243"/>
      <c r="AA1184" s="243"/>
      <c r="AB1184" s="243"/>
      <c r="AC1184" s="243"/>
      <c r="AD1184" s="243"/>
      <c r="AE1184" s="243"/>
    </row>
    <row r="1185">
      <c r="P1185" s="242"/>
      <c r="Q1185" s="207"/>
      <c r="U1185" s="243"/>
      <c r="V1185" s="243"/>
      <c r="W1185" s="243"/>
      <c r="X1185" s="243"/>
      <c r="Y1185" s="243"/>
      <c r="Z1185" s="243"/>
      <c r="AA1185" s="243"/>
      <c r="AB1185" s="243"/>
      <c r="AC1185" s="243"/>
      <c r="AD1185" s="243"/>
      <c r="AE1185" s="243"/>
    </row>
    <row r="1186">
      <c r="P1186" s="242"/>
      <c r="Q1186" s="207"/>
      <c r="U1186" s="243"/>
      <c r="V1186" s="243"/>
      <c r="W1186" s="243"/>
      <c r="X1186" s="243"/>
      <c r="Y1186" s="243"/>
      <c r="Z1186" s="243"/>
      <c r="AA1186" s="243"/>
      <c r="AB1186" s="243"/>
      <c r="AC1186" s="243"/>
      <c r="AD1186" s="243"/>
      <c r="AE1186" s="243"/>
    </row>
    <row r="1187">
      <c r="P1187" s="242"/>
      <c r="Q1187" s="207"/>
      <c r="U1187" s="243"/>
      <c r="V1187" s="243"/>
      <c r="W1187" s="243"/>
      <c r="X1187" s="243"/>
      <c r="Y1187" s="243"/>
      <c r="Z1187" s="243"/>
      <c r="AA1187" s="243"/>
      <c r="AB1187" s="243"/>
      <c r="AC1187" s="243"/>
      <c r="AD1187" s="243"/>
      <c r="AE1187" s="243"/>
    </row>
    <row r="1188">
      <c r="P1188" s="242"/>
      <c r="Q1188" s="207"/>
      <c r="U1188" s="243"/>
      <c r="V1188" s="243"/>
      <c r="W1188" s="243"/>
      <c r="X1188" s="243"/>
      <c r="Y1188" s="243"/>
      <c r="Z1188" s="243"/>
      <c r="AA1188" s="243"/>
      <c r="AB1188" s="243"/>
      <c r="AC1188" s="243"/>
      <c r="AD1188" s="243"/>
      <c r="AE1188" s="243"/>
    </row>
    <row r="1189">
      <c r="P1189" s="242"/>
      <c r="Q1189" s="207"/>
      <c r="U1189" s="243"/>
      <c r="V1189" s="243"/>
      <c r="W1189" s="243"/>
      <c r="X1189" s="243"/>
      <c r="Y1189" s="243"/>
      <c r="Z1189" s="243"/>
      <c r="AA1189" s="243"/>
      <c r="AB1189" s="243"/>
      <c r="AC1189" s="243"/>
      <c r="AD1189" s="243"/>
      <c r="AE1189" s="243"/>
    </row>
    <row r="1190">
      <c r="P1190" s="242"/>
      <c r="Q1190" s="207"/>
      <c r="U1190" s="243"/>
      <c r="V1190" s="243"/>
      <c r="W1190" s="243"/>
      <c r="X1190" s="243"/>
      <c r="Y1190" s="243"/>
      <c r="Z1190" s="243"/>
      <c r="AA1190" s="243"/>
      <c r="AB1190" s="243"/>
      <c r="AC1190" s="243"/>
      <c r="AD1190" s="243"/>
      <c r="AE1190" s="243"/>
    </row>
    <row r="1191">
      <c r="P1191" s="242"/>
      <c r="Q1191" s="207"/>
      <c r="U1191" s="243"/>
      <c r="V1191" s="243"/>
      <c r="W1191" s="243"/>
      <c r="X1191" s="243"/>
      <c r="Y1191" s="243"/>
      <c r="Z1191" s="243"/>
      <c r="AA1191" s="243"/>
      <c r="AB1191" s="243"/>
      <c r="AC1191" s="243"/>
      <c r="AD1191" s="243"/>
      <c r="AE1191" s="243"/>
    </row>
    <row r="1192">
      <c r="P1192" s="242"/>
      <c r="Q1192" s="207"/>
      <c r="U1192" s="243"/>
      <c r="V1192" s="243"/>
      <c r="W1192" s="243"/>
      <c r="X1192" s="243"/>
      <c r="Y1192" s="243"/>
      <c r="Z1192" s="243"/>
      <c r="AA1192" s="243"/>
      <c r="AB1192" s="243"/>
      <c r="AC1192" s="243"/>
      <c r="AD1192" s="243"/>
      <c r="AE1192" s="243"/>
    </row>
    <row r="1193">
      <c r="P1193" s="242"/>
      <c r="Q1193" s="207"/>
      <c r="U1193" s="243"/>
      <c r="V1193" s="243"/>
      <c r="W1193" s="243"/>
      <c r="X1193" s="243"/>
      <c r="Y1193" s="243"/>
      <c r="Z1193" s="243"/>
      <c r="AA1193" s="243"/>
      <c r="AB1193" s="243"/>
      <c r="AC1193" s="243"/>
      <c r="AD1193" s="243"/>
      <c r="AE1193" s="243"/>
    </row>
    <row r="1194">
      <c r="P1194" s="242"/>
      <c r="Q1194" s="207"/>
      <c r="U1194" s="243"/>
      <c r="V1194" s="243"/>
      <c r="W1194" s="243"/>
      <c r="X1194" s="243"/>
      <c r="Y1194" s="243"/>
      <c r="Z1194" s="243"/>
      <c r="AA1194" s="243"/>
      <c r="AB1194" s="243"/>
      <c r="AC1194" s="243"/>
      <c r="AD1194" s="243"/>
      <c r="AE1194" s="243"/>
    </row>
    <row r="1195">
      <c r="P1195" s="242"/>
      <c r="Q1195" s="207"/>
      <c r="U1195" s="243"/>
      <c r="V1195" s="243"/>
      <c r="W1195" s="243"/>
      <c r="X1195" s="243"/>
      <c r="Y1195" s="243"/>
      <c r="Z1195" s="243"/>
      <c r="AA1195" s="243"/>
      <c r="AB1195" s="243"/>
      <c r="AC1195" s="243"/>
      <c r="AD1195" s="243"/>
      <c r="AE1195" s="243"/>
    </row>
    <row r="1196">
      <c r="P1196" s="242"/>
      <c r="Q1196" s="207"/>
      <c r="U1196" s="243"/>
      <c r="V1196" s="243"/>
      <c r="W1196" s="243"/>
      <c r="X1196" s="243"/>
      <c r="Y1196" s="243"/>
      <c r="Z1196" s="243"/>
      <c r="AA1196" s="243"/>
      <c r="AB1196" s="243"/>
      <c r="AC1196" s="243"/>
      <c r="AD1196" s="243"/>
      <c r="AE1196" s="243"/>
    </row>
    <row r="1197">
      <c r="P1197" s="242"/>
      <c r="Q1197" s="207"/>
      <c r="U1197" s="243"/>
      <c r="V1197" s="243"/>
      <c r="W1197" s="243"/>
      <c r="X1197" s="243"/>
      <c r="Y1197" s="243"/>
      <c r="Z1197" s="243"/>
      <c r="AA1197" s="243"/>
      <c r="AB1197" s="243"/>
      <c r="AC1197" s="243"/>
      <c r="AD1197" s="243"/>
      <c r="AE1197" s="243"/>
    </row>
    <row r="1198">
      <c r="P1198" s="242"/>
      <c r="Q1198" s="207"/>
      <c r="U1198" s="243"/>
      <c r="V1198" s="243"/>
      <c r="W1198" s="243"/>
      <c r="X1198" s="243"/>
      <c r="Y1198" s="243"/>
      <c r="Z1198" s="243"/>
      <c r="AA1198" s="243"/>
      <c r="AB1198" s="243"/>
      <c r="AC1198" s="243"/>
      <c r="AD1198" s="243"/>
      <c r="AE1198" s="243"/>
    </row>
    <row r="1199">
      <c r="P1199" s="242"/>
      <c r="Q1199" s="207"/>
      <c r="U1199" s="243"/>
      <c r="V1199" s="243"/>
      <c r="W1199" s="243"/>
      <c r="X1199" s="243"/>
      <c r="Y1199" s="243"/>
      <c r="Z1199" s="243"/>
      <c r="AA1199" s="243"/>
      <c r="AB1199" s="243"/>
      <c r="AC1199" s="243"/>
      <c r="AD1199" s="243"/>
      <c r="AE1199" s="243"/>
    </row>
    <row r="1200">
      <c r="P1200" s="242"/>
      <c r="Q1200" s="207"/>
      <c r="U1200" s="243"/>
      <c r="V1200" s="243"/>
      <c r="W1200" s="243"/>
      <c r="X1200" s="243"/>
      <c r="Y1200" s="243"/>
      <c r="Z1200" s="243"/>
      <c r="AA1200" s="243"/>
      <c r="AB1200" s="243"/>
      <c r="AC1200" s="243"/>
      <c r="AD1200" s="243"/>
      <c r="AE1200" s="243"/>
    </row>
    <row r="1201">
      <c r="P1201" s="242"/>
      <c r="Q1201" s="207"/>
      <c r="U1201" s="243"/>
      <c r="V1201" s="243"/>
      <c r="W1201" s="243"/>
      <c r="X1201" s="243"/>
      <c r="Y1201" s="243"/>
      <c r="Z1201" s="243"/>
      <c r="AA1201" s="243"/>
      <c r="AB1201" s="243"/>
      <c r="AC1201" s="243"/>
      <c r="AD1201" s="243"/>
      <c r="AE1201" s="243"/>
    </row>
    <row r="1202">
      <c r="P1202" s="242"/>
      <c r="Q1202" s="207"/>
      <c r="U1202" s="243"/>
      <c r="V1202" s="243"/>
      <c r="W1202" s="243"/>
      <c r="X1202" s="243"/>
      <c r="Y1202" s="243"/>
      <c r="Z1202" s="243"/>
      <c r="AA1202" s="243"/>
      <c r="AB1202" s="243"/>
      <c r="AC1202" s="243"/>
      <c r="AD1202" s="243"/>
      <c r="AE1202" s="243"/>
    </row>
    <row r="1203">
      <c r="P1203" s="242"/>
      <c r="Q1203" s="207"/>
      <c r="U1203" s="243"/>
      <c r="V1203" s="243"/>
      <c r="W1203" s="243"/>
      <c r="X1203" s="243"/>
      <c r="Y1203" s="243"/>
      <c r="Z1203" s="243"/>
      <c r="AA1203" s="243"/>
      <c r="AB1203" s="243"/>
      <c r="AC1203" s="243"/>
      <c r="AD1203" s="243"/>
      <c r="AE1203" s="243"/>
    </row>
    <row r="1204">
      <c r="P1204" s="242"/>
      <c r="Q1204" s="207"/>
      <c r="U1204" s="243"/>
      <c r="V1204" s="243"/>
      <c r="W1204" s="243"/>
      <c r="X1204" s="243"/>
      <c r="Y1204" s="243"/>
      <c r="Z1204" s="243"/>
      <c r="AA1204" s="243"/>
      <c r="AB1204" s="243"/>
      <c r="AC1204" s="243"/>
      <c r="AD1204" s="243"/>
      <c r="AE1204" s="243"/>
    </row>
    <row r="1205">
      <c r="P1205" s="242"/>
      <c r="Q1205" s="207"/>
      <c r="U1205" s="243"/>
      <c r="V1205" s="243"/>
      <c r="W1205" s="243"/>
      <c r="X1205" s="243"/>
      <c r="Y1205" s="243"/>
      <c r="Z1205" s="243"/>
      <c r="AA1205" s="243"/>
      <c r="AB1205" s="243"/>
      <c r="AC1205" s="243"/>
      <c r="AD1205" s="243"/>
      <c r="AE1205" s="243"/>
    </row>
    <row r="1206">
      <c r="P1206" s="242"/>
      <c r="Q1206" s="207"/>
      <c r="U1206" s="243"/>
      <c r="V1206" s="243"/>
      <c r="W1206" s="243"/>
      <c r="X1206" s="243"/>
      <c r="Y1206" s="243"/>
      <c r="Z1206" s="243"/>
      <c r="AA1206" s="243"/>
      <c r="AB1206" s="243"/>
      <c r="AC1206" s="243"/>
      <c r="AD1206" s="243"/>
      <c r="AE1206" s="243"/>
    </row>
    <row r="1207">
      <c r="P1207" s="242"/>
      <c r="Q1207" s="207"/>
      <c r="U1207" s="243"/>
      <c r="V1207" s="243"/>
      <c r="W1207" s="243"/>
      <c r="X1207" s="243"/>
      <c r="Y1207" s="243"/>
      <c r="Z1207" s="243"/>
      <c r="AA1207" s="243"/>
      <c r="AB1207" s="243"/>
      <c r="AC1207" s="243"/>
      <c r="AD1207" s="243"/>
      <c r="AE1207" s="243"/>
    </row>
    <row r="1208">
      <c r="P1208" s="242"/>
      <c r="Q1208" s="207"/>
      <c r="U1208" s="243"/>
      <c r="V1208" s="243"/>
      <c r="W1208" s="243"/>
      <c r="X1208" s="243"/>
      <c r="Y1208" s="243"/>
      <c r="Z1208" s="243"/>
      <c r="AA1208" s="243"/>
      <c r="AB1208" s="243"/>
      <c r="AC1208" s="243"/>
      <c r="AD1208" s="243"/>
      <c r="AE1208" s="243"/>
    </row>
    <row r="1209">
      <c r="P1209" s="242"/>
      <c r="Q1209" s="207"/>
      <c r="U1209" s="243"/>
      <c r="V1209" s="243"/>
      <c r="W1209" s="243"/>
      <c r="X1209" s="243"/>
      <c r="Y1209" s="243"/>
      <c r="Z1209" s="243"/>
      <c r="AA1209" s="243"/>
      <c r="AB1209" s="243"/>
      <c r="AC1209" s="243"/>
      <c r="AD1209" s="243"/>
      <c r="AE1209" s="243"/>
    </row>
    <row r="1210">
      <c r="P1210" s="242"/>
      <c r="Q1210" s="207"/>
      <c r="U1210" s="243"/>
      <c r="V1210" s="243"/>
      <c r="W1210" s="243"/>
      <c r="X1210" s="243"/>
      <c r="Y1210" s="243"/>
      <c r="Z1210" s="243"/>
      <c r="AA1210" s="243"/>
      <c r="AB1210" s="243"/>
      <c r="AC1210" s="243"/>
      <c r="AD1210" s="243"/>
      <c r="AE1210" s="243"/>
    </row>
    <row r="1211">
      <c r="P1211" s="242"/>
      <c r="Q1211" s="207"/>
      <c r="U1211" s="243"/>
      <c r="V1211" s="243"/>
      <c r="W1211" s="243"/>
      <c r="X1211" s="243"/>
      <c r="Y1211" s="243"/>
      <c r="Z1211" s="243"/>
      <c r="AA1211" s="243"/>
      <c r="AB1211" s="243"/>
      <c r="AC1211" s="243"/>
      <c r="AD1211" s="243"/>
      <c r="AE1211" s="243"/>
    </row>
    <row r="1212">
      <c r="P1212" s="242"/>
      <c r="Q1212" s="207"/>
      <c r="U1212" s="243"/>
      <c r="V1212" s="243"/>
      <c r="W1212" s="243"/>
      <c r="X1212" s="243"/>
      <c r="Y1212" s="243"/>
      <c r="Z1212" s="243"/>
      <c r="AA1212" s="243"/>
      <c r="AB1212" s="243"/>
      <c r="AC1212" s="243"/>
      <c r="AD1212" s="243"/>
      <c r="AE1212" s="243"/>
    </row>
    <row r="1213">
      <c r="P1213" s="242"/>
      <c r="Q1213" s="207"/>
      <c r="U1213" s="243"/>
      <c r="V1213" s="243"/>
      <c r="W1213" s="243"/>
      <c r="X1213" s="243"/>
      <c r="Y1213" s="243"/>
      <c r="Z1213" s="243"/>
      <c r="AA1213" s="243"/>
      <c r="AB1213" s="243"/>
      <c r="AC1213" s="243"/>
      <c r="AD1213" s="243"/>
      <c r="AE1213" s="243"/>
    </row>
    <row r="1214">
      <c r="P1214" s="242"/>
      <c r="Q1214" s="207"/>
      <c r="U1214" s="243"/>
      <c r="V1214" s="243"/>
      <c r="W1214" s="243"/>
      <c r="X1214" s="243"/>
      <c r="Y1214" s="243"/>
      <c r="Z1214" s="243"/>
      <c r="AA1214" s="243"/>
      <c r="AB1214" s="243"/>
      <c r="AC1214" s="243"/>
      <c r="AD1214" s="243"/>
      <c r="AE1214" s="243"/>
    </row>
    <row r="1215">
      <c r="P1215" s="242"/>
      <c r="Q1215" s="207"/>
      <c r="U1215" s="243"/>
      <c r="V1215" s="243"/>
      <c r="W1215" s="243"/>
      <c r="X1215" s="243"/>
      <c r="Y1215" s="243"/>
      <c r="Z1215" s="243"/>
      <c r="AA1215" s="243"/>
      <c r="AB1215" s="243"/>
      <c r="AC1215" s="243"/>
      <c r="AD1215" s="243"/>
      <c r="AE1215" s="243"/>
    </row>
    <row r="1216">
      <c r="P1216" s="242"/>
      <c r="Q1216" s="207"/>
      <c r="U1216" s="243"/>
      <c r="V1216" s="243"/>
      <c r="W1216" s="243"/>
      <c r="X1216" s="243"/>
      <c r="Y1216" s="243"/>
      <c r="Z1216" s="243"/>
      <c r="AA1216" s="243"/>
      <c r="AB1216" s="243"/>
      <c r="AC1216" s="243"/>
      <c r="AD1216" s="243"/>
      <c r="AE1216" s="243"/>
    </row>
    <row r="1217">
      <c r="P1217" s="242"/>
      <c r="Q1217" s="207"/>
      <c r="U1217" s="243"/>
      <c r="V1217" s="243"/>
      <c r="W1217" s="243"/>
      <c r="X1217" s="243"/>
      <c r="Y1217" s="243"/>
      <c r="Z1217" s="243"/>
      <c r="AA1217" s="243"/>
      <c r="AB1217" s="243"/>
      <c r="AC1217" s="243"/>
      <c r="AD1217" s="243"/>
      <c r="AE1217" s="243"/>
    </row>
    <row r="1218">
      <c r="P1218" s="242"/>
      <c r="Q1218" s="207"/>
      <c r="U1218" s="243"/>
      <c r="V1218" s="243"/>
      <c r="W1218" s="243"/>
      <c r="X1218" s="243"/>
      <c r="Y1218" s="243"/>
      <c r="Z1218" s="243"/>
      <c r="AA1218" s="243"/>
      <c r="AB1218" s="243"/>
      <c r="AC1218" s="243"/>
      <c r="AD1218" s="243"/>
      <c r="AE1218" s="243"/>
    </row>
    <row r="1219">
      <c r="P1219" s="242"/>
      <c r="Q1219" s="207"/>
      <c r="U1219" s="243"/>
      <c r="V1219" s="243"/>
      <c r="W1219" s="243"/>
      <c r="X1219" s="243"/>
      <c r="Y1219" s="243"/>
      <c r="Z1219" s="243"/>
      <c r="AA1219" s="243"/>
      <c r="AB1219" s="243"/>
      <c r="AC1219" s="243"/>
      <c r="AD1219" s="243"/>
      <c r="AE1219" s="243"/>
    </row>
    <row r="1220">
      <c r="P1220" s="242"/>
      <c r="Q1220" s="207"/>
      <c r="U1220" s="243"/>
      <c r="V1220" s="243"/>
      <c r="W1220" s="243"/>
      <c r="X1220" s="243"/>
      <c r="Y1220" s="243"/>
      <c r="Z1220" s="243"/>
      <c r="AA1220" s="243"/>
      <c r="AB1220" s="243"/>
      <c r="AC1220" s="243"/>
      <c r="AD1220" s="243"/>
      <c r="AE1220" s="243"/>
    </row>
    <row r="1221">
      <c r="P1221" s="242"/>
      <c r="Q1221" s="207"/>
      <c r="U1221" s="243"/>
      <c r="V1221" s="243"/>
      <c r="W1221" s="243"/>
      <c r="X1221" s="243"/>
      <c r="Y1221" s="243"/>
      <c r="Z1221" s="243"/>
      <c r="AA1221" s="243"/>
      <c r="AB1221" s="243"/>
      <c r="AC1221" s="243"/>
      <c r="AD1221" s="243"/>
      <c r="AE1221" s="243"/>
    </row>
    <row r="1222">
      <c r="P1222" s="242"/>
      <c r="Q1222" s="207"/>
      <c r="U1222" s="243"/>
      <c r="V1222" s="243"/>
      <c r="W1222" s="243"/>
      <c r="X1222" s="243"/>
      <c r="Y1222" s="243"/>
      <c r="Z1222" s="243"/>
      <c r="AA1222" s="243"/>
      <c r="AB1222" s="243"/>
      <c r="AC1222" s="243"/>
      <c r="AD1222" s="243"/>
      <c r="AE1222" s="243"/>
    </row>
    <row r="1223">
      <c r="P1223" s="242"/>
      <c r="Q1223" s="207"/>
      <c r="U1223" s="243"/>
      <c r="V1223" s="243"/>
      <c r="W1223" s="243"/>
      <c r="X1223" s="243"/>
      <c r="Y1223" s="243"/>
      <c r="Z1223" s="243"/>
      <c r="AA1223" s="243"/>
      <c r="AB1223" s="243"/>
      <c r="AC1223" s="243"/>
      <c r="AD1223" s="243"/>
      <c r="AE1223" s="243"/>
    </row>
    <row r="1224">
      <c r="P1224" s="242"/>
      <c r="Q1224" s="207"/>
      <c r="U1224" s="243"/>
      <c r="V1224" s="243"/>
      <c r="W1224" s="243"/>
      <c r="X1224" s="243"/>
      <c r="Y1224" s="243"/>
      <c r="Z1224" s="243"/>
      <c r="AA1224" s="243"/>
      <c r="AB1224" s="243"/>
      <c r="AC1224" s="243"/>
      <c r="AD1224" s="243"/>
      <c r="AE1224" s="243"/>
    </row>
    <row r="1225">
      <c r="P1225" s="242"/>
      <c r="Q1225" s="207"/>
      <c r="U1225" s="243"/>
      <c r="V1225" s="243"/>
      <c r="W1225" s="243"/>
      <c r="X1225" s="243"/>
      <c r="Y1225" s="243"/>
      <c r="Z1225" s="243"/>
      <c r="AA1225" s="243"/>
      <c r="AB1225" s="243"/>
      <c r="AC1225" s="243"/>
      <c r="AD1225" s="243"/>
      <c r="AE1225" s="243"/>
    </row>
    <row r="1226">
      <c r="P1226" s="242"/>
      <c r="Q1226" s="207"/>
      <c r="U1226" s="243"/>
      <c r="V1226" s="243"/>
      <c r="W1226" s="243"/>
      <c r="X1226" s="243"/>
      <c r="Y1226" s="243"/>
      <c r="Z1226" s="243"/>
      <c r="AA1226" s="243"/>
      <c r="AB1226" s="243"/>
      <c r="AC1226" s="243"/>
      <c r="AD1226" s="243"/>
      <c r="AE1226" s="243"/>
    </row>
    <row r="1227">
      <c r="P1227" s="242"/>
      <c r="Q1227" s="207"/>
      <c r="U1227" s="243"/>
      <c r="V1227" s="243"/>
      <c r="W1227" s="243"/>
      <c r="X1227" s="243"/>
      <c r="Y1227" s="243"/>
      <c r="Z1227" s="243"/>
      <c r="AA1227" s="243"/>
      <c r="AB1227" s="243"/>
      <c r="AC1227" s="243"/>
      <c r="AD1227" s="243"/>
      <c r="AE1227" s="243"/>
    </row>
    <row r="1228">
      <c r="P1228" s="242"/>
      <c r="Q1228" s="207"/>
      <c r="U1228" s="243"/>
      <c r="V1228" s="243"/>
      <c r="W1228" s="243"/>
      <c r="X1228" s="243"/>
      <c r="Y1228" s="243"/>
      <c r="Z1228" s="243"/>
      <c r="AA1228" s="243"/>
      <c r="AB1228" s="243"/>
      <c r="AC1228" s="243"/>
      <c r="AD1228" s="243"/>
      <c r="AE1228" s="243"/>
    </row>
    <row r="1229">
      <c r="P1229" s="242"/>
      <c r="Q1229" s="207"/>
      <c r="U1229" s="243"/>
      <c r="V1229" s="243"/>
      <c r="W1229" s="243"/>
      <c r="X1229" s="243"/>
      <c r="Y1229" s="243"/>
      <c r="Z1229" s="243"/>
      <c r="AA1229" s="243"/>
      <c r="AB1229" s="243"/>
      <c r="AC1229" s="243"/>
      <c r="AD1229" s="243"/>
      <c r="AE1229" s="243"/>
    </row>
    <row r="1230">
      <c r="P1230" s="242"/>
      <c r="Q1230" s="207"/>
      <c r="U1230" s="243"/>
      <c r="V1230" s="243"/>
      <c r="W1230" s="243"/>
      <c r="X1230" s="243"/>
      <c r="Y1230" s="243"/>
      <c r="Z1230" s="243"/>
      <c r="AA1230" s="243"/>
      <c r="AB1230" s="243"/>
      <c r="AC1230" s="243"/>
      <c r="AD1230" s="243"/>
      <c r="AE1230" s="243"/>
    </row>
    <row r="1231">
      <c r="P1231" s="242"/>
      <c r="Q1231" s="207"/>
      <c r="U1231" s="243"/>
      <c r="V1231" s="243"/>
      <c r="W1231" s="243"/>
      <c r="X1231" s="243"/>
      <c r="Y1231" s="243"/>
      <c r="Z1231" s="243"/>
      <c r="AA1231" s="243"/>
      <c r="AB1231" s="243"/>
      <c r="AC1231" s="243"/>
      <c r="AD1231" s="243"/>
      <c r="AE1231" s="243"/>
    </row>
    <row r="1232">
      <c r="P1232" s="242"/>
      <c r="Q1232" s="207"/>
      <c r="U1232" s="243"/>
      <c r="V1232" s="243"/>
      <c r="W1232" s="243"/>
      <c r="X1232" s="243"/>
      <c r="Y1232" s="243"/>
      <c r="Z1232" s="243"/>
      <c r="AA1232" s="243"/>
      <c r="AB1232" s="243"/>
      <c r="AC1232" s="243"/>
      <c r="AD1232" s="243"/>
      <c r="AE1232" s="243"/>
    </row>
    <row r="1233">
      <c r="P1233" s="242"/>
      <c r="Q1233" s="207"/>
      <c r="U1233" s="243"/>
      <c r="V1233" s="243"/>
      <c r="W1233" s="243"/>
      <c r="X1233" s="243"/>
      <c r="Y1233" s="243"/>
      <c r="Z1233" s="243"/>
      <c r="AA1233" s="243"/>
      <c r="AB1233" s="243"/>
      <c r="AC1233" s="243"/>
      <c r="AD1233" s="243"/>
      <c r="AE1233" s="243"/>
    </row>
    <row r="1234">
      <c r="P1234" s="242"/>
      <c r="Q1234" s="207"/>
      <c r="U1234" s="243"/>
      <c r="V1234" s="243"/>
      <c r="W1234" s="243"/>
      <c r="X1234" s="243"/>
      <c r="Y1234" s="243"/>
      <c r="Z1234" s="243"/>
      <c r="AA1234" s="243"/>
      <c r="AB1234" s="243"/>
      <c r="AC1234" s="243"/>
      <c r="AD1234" s="243"/>
      <c r="AE1234" s="243"/>
    </row>
    <row r="1235">
      <c r="P1235" s="242"/>
      <c r="Q1235" s="207"/>
      <c r="U1235" s="243"/>
      <c r="V1235" s="243"/>
      <c r="W1235" s="243"/>
      <c r="X1235" s="243"/>
      <c r="Y1235" s="243"/>
      <c r="Z1235" s="243"/>
      <c r="AA1235" s="243"/>
      <c r="AB1235" s="243"/>
      <c r="AC1235" s="243"/>
      <c r="AD1235" s="243"/>
      <c r="AE1235" s="243"/>
    </row>
    <row r="1236">
      <c r="P1236" s="242"/>
      <c r="Q1236" s="207"/>
      <c r="U1236" s="243"/>
      <c r="V1236" s="243"/>
      <c r="W1236" s="243"/>
      <c r="X1236" s="243"/>
      <c r="Y1236" s="243"/>
      <c r="Z1236" s="243"/>
      <c r="AA1236" s="243"/>
      <c r="AB1236" s="243"/>
      <c r="AC1236" s="243"/>
      <c r="AD1236" s="243"/>
      <c r="AE1236" s="243"/>
    </row>
    <row r="1237">
      <c r="P1237" s="242"/>
      <c r="Q1237" s="207"/>
      <c r="U1237" s="243"/>
      <c r="V1237" s="243"/>
      <c r="W1237" s="243"/>
      <c r="X1237" s="243"/>
      <c r="Y1237" s="243"/>
      <c r="Z1237" s="243"/>
      <c r="AA1237" s="243"/>
      <c r="AB1237" s="243"/>
      <c r="AC1237" s="243"/>
      <c r="AD1237" s="243"/>
      <c r="AE1237" s="243"/>
    </row>
    <row r="1238">
      <c r="P1238" s="242"/>
      <c r="Q1238" s="207"/>
      <c r="U1238" s="243"/>
      <c r="V1238" s="243"/>
      <c r="W1238" s="243"/>
      <c r="X1238" s="243"/>
      <c r="Y1238" s="243"/>
      <c r="Z1238" s="243"/>
      <c r="AA1238" s="243"/>
      <c r="AB1238" s="243"/>
      <c r="AC1238" s="243"/>
      <c r="AD1238" s="243"/>
      <c r="AE1238" s="243"/>
    </row>
    <row r="1239">
      <c r="P1239" s="242"/>
      <c r="Q1239" s="207"/>
      <c r="U1239" s="243"/>
      <c r="V1239" s="243"/>
      <c r="W1239" s="243"/>
      <c r="X1239" s="243"/>
      <c r="Y1239" s="243"/>
      <c r="Z1239" s="243"/>
      <c r="AA1239" s="243"/>
      <c r="AB1239" s="243"/>
      <c r="AC1239" s="243"/>
      <c r="AD1239" s="243"/>
      <c r="AE1239" s="243"/>
    </row>
    <row r="1240">
      <c r="P1240" s="242"/>
      <c r="Q1240" s="207"/>
      <c r="U1240" s="243"/>
      <c r="V1240" s="243"/>
      <c r="W1240" s="243"/>
      <c r="X1240" s="243"/>
      <c r="Y1240" s="243"/>
      <c r="Z1240" s="243"/>
      <c r="AA1240" s="243"/>
      <c r="AB1240" s="243"/>
      <c r="AC1240" s="243"/>
      <c r="AD1240" s="243"/>
      <c r="AE1240" s="243"/>
    </row>
    <row r="1241">
      <c r="P1241" s="242"/>
      <c r="Q1241" s="207"/>
      <c r="U1241" s="243"/>
      <c r="V1241" s="243"/>
      <c r="W1241" s="243"/>
      <c r="X1241" s="243"/>
      <c r="Y1241" s="243"/>
      <c r="Z1241" s="243"/>
      <c r="AA1241" s="243"/>
      <c r="AB1241" s="243"/>
      <c r="AC1241" s="243"/>
      <c r="AD1241" s="243"/>
      <c r="AE1241" s="243"/>
    </row>
    <row r="1242">
      <c r="P1242" s="242"/>
      <c r="Q1242" s="207"/>
      <c r="U1242" s="243"/>
      <c r="V1242" s="243"/>
      <c r="W1242" s="243"/>
      <c r="X1242" s="243"/>
      <c r="Y1242" s="243"/>
      <c r="Z1242" s="243"/>
      <c r="AA1242" s="243"/>
      <c r="AB1242" s="243"/>
      <c r="AC1242" s="243"/>
      <c r="AD1242" s="243"/>
      <c r="AE1242" s="243"/>
    </row>
    <row r="1243">
      <c r="P1243" s="242"/>
      <c r="Q1243" s="207"/>
      <c r="U1243" s="243"/>
      <c r="V1243" s="243"/>
      <c r="W1243" s="243"/>
      <c r="X1243" s="243"/>
      <c r="Y1243" s="243"/>
      <c r="Z1243" s="243"/>
      <c r="AA1243" s="243"/>
      <c r="AB1243" s="243"/>
      <c r="AC1243" s="243"/>
      <c r="AD1243" s="243"/>
      <c r="AE1243" s="243"/>
    </row>
    <row r="1244">
      <c r="P1244" s="242"/>
      <c r="Q1244" s="207"/>
      <c r="U1244" s="243"/>
      <c r="V1244" s="243"/>
      <c r="W1244" s="243"/>
      <c r="X1244" s="243"/>
      <c r="Y1244" s="243"/>
      <c r="Z1244" s="243"/>
      <c r="AA1244" s="243"/>
      <c r="AB1244" s="243"/>
      <c r="AC1244" s="243"/>
      <c r="AD1244" s="243"/>
      <c r="AE1244" s="243"/>
    </row>
    <row r="1245">
      <c r="P1245" s="242"/>
      <c r="Q1245" s="207"/>
      <c r="U1245" s="243"/>
      <c r="V1245" s="243"/>
      <c r="W1245" s="243"/>
      <c r="X1245" s="243"/>
      <c r="Y1245" s="243"/>
      <c r="Z1245" s="243"/>
      <c r="AA1245" s="243"/>
      <c r="AB1245" s="243"/>
      <c r="AC1245" s="243"/>
      <c r="AD1245" s="243"/>
      <c r="AE1245" s="243"/>
    </row>
    <row r="1246">
      <c r="P1246" s="242"/>
      <c r="Q1246" s="207"/>
      <c r="U1246" s="243"/>
      <c r="V1246" s="243"/>
      <c r="W1246" s="243"/>
      <c r="X1246" s="243"/>
      <c r="Y1246" s="243"/>
      <c r="Z1246" s="243"/>
      <c r="AA1246" s="243"/>
      <c r="AB1246" s="243"/>
      <c r="AC1246" s="243"/>
      <c r="AD1246" s="243"/>
      <c r="AE1246" s="243"/>
    </row>
    <row r="1247">
      <c r="P1247" s="242"/>
      <c r="Q1247" s="207"/>
      <c r="U1247" s="243"/>
      <c r="V1247" s="243"/>
      <c r="W1247" s="243"/>
      <c r="X1247" s="243"/>
      <c r="Y1247" s="243"/>
      <c r="Z1247" s="243"/>
      <c r="AA1247" s="243"/>
      <c r="AB1247" s="243"/>
      <c r="AC1247" s="243"/>
      <c r="AD1247" s="243"/>
      <c r="AE1247" s="243"/>
    </row>
    <row r="1248">
      <c r="P1248" s="242"/>
      <c r="Q1248" s="207"/>
      <c r="U1248" s="243"/>
      <c r="V1248" s="243"/>
      <c r="W1248" s="243"/>
      <c r="X1248" s="243"/>
      <c r="Y1248" s="243"/>
      <c r="Z1248" s="243"/>
      <c r="AA1248" s="243"/>
      <c r="AB1248" s="243"/>
      <c r="AC1248" s="243"/>
      <c r="AD1248" s="243"/>
      <c r="AE1248" s="243"/>
    </row>
    <row r="1249">
      <c r="P1249" s="242"/>
      <c r="Q1249" s="207"/>
      <c r="U1249" s="243"/>
      <c r="V1249" s="243"/>
      <c r="W1249" s="243"/>
      <c r="X1249" s="243"/>
      <c r="Y1249" s="243"/>
      <c r="Z1249" s="243"/>
      <c r="AA1249" s="243"/>
      <c r="AB1249" s="243"/>
      <c r="AC1249" s="243"/>
      <c r="AD1249" s="243"/>
      <c r="AE1249" s="243"/>
    </row>
    <row r="1250">
      <c r="P1250" s="242"/>
      <c r="Q1250" s="207"/>
      <c r="U1250" s="243"/>
      <c r="V1250" s="243"/>
      <c r="W1250" s="243"/>
      <c r="X1250" s="243"/>
      <c r="Y1250" s="243"/>
      <c r="Z1250" s="243"/>
      <c r="AA1250" s="243"/>
      <c r="AB1250" s="243"/>
      <c r="AC1250" s="243"/>
      <c r="AD1250" s="243"/>
      <c r="AE1250" s="243"/>
    </row>
    <row r="1251">
      <c r="P1251" s="242"/>
      <c r="Q1251" s="207"/>
      <c r="U1251" s="243"/>
      <c r="V1251" s="243"/>
      <c r="W1251" s="243"/>
      <c r="X1251" s="243"/>
      <c r="Y1251" s="243"/>
      <c r="Z1251" s="243"/>
      <c r="AA1251" s="243"/>
      <c r="AB1251" s="243"/>
      <c r="AC1251" s="243"/>
      <c r="AD1251" s="243"/>
      <c r="AE1251" s="243"/>
    </row>
    <row r="1252">
      <c r="P1252" s="242"/>
      <c r="Q1252" s="207"/>
      <c r="U1252" s="243"/>
      <c r="V1252" s="243"/>
      <c r="W1252" s="243"/>
      <c r="X1252" s="243"/>
      <c r="Y1252" s="243"/>
      <c r="Z1252" s="243"/>
      <c r="AA1252" s="243"/>
      <c r="AB1252" s="243"/>
      <c r="AC1252" s="243"/>
      <c r="AD1252" s="243"/>
      <c r="AE1252" s="243"/>
    </row>
    <row r="1253">
      <c r="P1253" s="242"/>
      <c r="Q1253" s="207"/>
      <c r="U1253" s="243"/>
      <c r="V1253" s="243"/>
      <c r="W1253" s="243"/>
      <c r="X1253" s="243"/>
      <c r="Y1253" s="243"/>
      <c r="Z1253" s="243"/>
      <c r="AA1253" s="243"/>
      <c r="AB1253" s="243"/>
      <c r="AC1253" s="243"/>
      <c r="AD1253" s="243"/>
      <c r="AE1253" s="243"/>
    </row>
    <row r="1254">
      <c r="P1254" s="242"/>
      <c r="Q1254" s="207"/>
      <c r="U1254" s="243"/>
      <c r="V1254" s="243"/>
      <c r="W1254" s="243"/>
      <c r="X1254" s="243"/>
      <c r="Y1254" s="243"/>
      <c r="Z1254" s="243"/>
      <c r="AA1254" s="243"/>
      <c r="AB1254" s="243"/>
      <c r="AC1254" s="243"/>
      <c r="AD1254" s="243"/>
      <c r="AE1254" s="243"/>
    </row>
    <row r="1255">
      <c r="P1255" s="242"/>
      <c r="Q1255" s="207"/>
      <c r="U1255" s="243"/>
      <c r="V1255" s="243"/>
      <c r="W1255" s="243"/>
      <c r="X1255" s="243"/>
      <c r="Y1255" s="243"/>
      <c r="Z1255" s="243"/>
      <c r="AA1255" s="243"/>
      <c r="AB1255" s="243"/>
      <c r="AC1255" s="243"/>
      <c r="AD1255" s="243"/>
      <c r="AE1255" s="243"/>
    </row>
    <row r="1256">
      <c r="P1256" s="242"/>
      <c r="Q1256" s="207"/>
      <c r="U1256" s="243"/>
      <c r="V1256" s="243"/>
      <c r="W1256" s="243"/>
      <c r="X1256" s="243"/>
      <c r="Y1256" s="243"/>
      <c r="Z1256" s="243"/>
      <c r="AA1256" s="243"/>
      <c r="AB1256" s="243"/>
      <c r="AC1256" s="243"/>
      <c r="AD1256" s="243"/>
      <c r="AE1256" s="243"/>
    </row>
    <row r="1257">
      <c r="P1257" s="242"/>
      <c r="Q1257" s="207"/>
      <c r="U1257" s="243"/>
      <c r="V1257" s="243"/>
      <c r="W1257" s="243"/>
      <c r="X1257" s="243"/>
      <c r="Y1257" s="243"/>
      <c r="Z1257" s="243"/>
      <c r="AA1257" s="243"/>
      <c r="AB1257" s="243"/>
      <c r="AC1257" s="243"/>
      <c r="AD1257" s="243"/>
      <c r="AE1257" s="243"/>
    </row>
    <row r="1258">
      <c r="P1258" s="242"/>
      <c r="Q1258" s="207"/>
      <c r="U1258" s="243"/>
      <c r="V1258" s="243"/>
      <c r="W1258" s="243"/>
      <c r="X1258" s="243"/>
      <c r="Y1258" s="243"/>
      <c r="Z1258" s="243"/>
      <c r="AA1258" s="243"/>
      <c r="AB1258" s="243"/>
      <c r="AC1258" s="243"/>
      <c r="AD1258" s="243"/>
      <c r="AE1258" s="243"/>
    </row>
    <row r="1259">
      <c r="P1259" s="242"/>
      <c r="Q1259" s="207"/>
      <c r="U1259" s="243"/>
      <c r="V1259" s="243"/>
      <c r="W1259" s="243"/>
      <c r="X1259" s="243"/>
      <c r="Y1259" s="243"/>
      <c r="Z1259" s="243"/>
      <c r="AA1259" s="243"/>
      <c r="AB1259" s="243"/>
      <c r="AC1259" s="243"/>
      <c r="AD1259" s="243"/>
      <c r="AE1259" s="243"/>
    </row>
    <row r="1260">
      <c r="P1260" s="242"/>
      <c r="Q1260" s="207"/>
      <c r="U1260" s="243"/>
      <c r="V1260" s="243"/>
      <c r="W1260" s="243"/>
      <c r="X1260" s="243"/>
      <c r="Y1260" s="243"/>
      <c r="Z1260" s="243"/>
      <c r="AA1260" s="243"/>
      <c r="AB1260" s="243"/>
      <c r="AC1260" s="243"/>
      <c r="AD1260" s="243"/>
      <c r="AE1260" s="243"/>
    </row>
    <row r="1261">
      <c r="P1261" s="242"/>
      <c r="Q1261" s="207"/>
      <c r="U1261" s="243"/>
      <c r="V1261" s="243"/>
      <c r="W1261" s="243"/>
      <c r="X1261" s="243"/>
      <c r="Y1261" s="243"/>
      <c r="Z1261" s="243"/>
      <c r="AA1261" s="243"/>
      <c r="AB1261" s="243"/>
      <c r="AC1261" s="243"/>
      <c r="AD1261" s="243"/>
      <c r="AE1261" s="243"/>
    </row>
    <row r="1262">
      <c r="P1262" s="242"/>
      <c r="Q1262" s="207"/>
      <c r="U1262" s="243"/>
      <c r="V1262" s="243"/>
      <c r="W1262" s="243"/>
      <c r="X1262" s="243"/>
      <c r="Y1262" s="243"/>
      <c r="Z1262" s="243"/>
      <c r="AA1262" s="243"/>
      <c r="AB1262" s="243"/>
      <c r="AC1262" s="243"/>
      <c r="AD1262" s="243"/>
      <c r="AE1262" s="243"/>
    </row>
    <row r="1263">
      <c r="P1263" s="242"/>
      <c r="Q1263" s="207"/>
      <c r="U1263" s="243"/>
      <c r="V1263" s="243"/>
      <c r="W1263" s="243"/>
      <c r="X1263" s="243"/>
      <c r="Y1263" s="243"/>
      <c r="Z1263" s="243"/>
      <c r="AA1263" s="243"/>
      <c r="AB1263" s="243"/>
      <c r="AC1263" s="243"/>
      <c r="AD1263" s="243"/>
      <c r="AE1263" s="243"/>
    </row>
    <row r="1264">
      <c r="P1264" s="242"/>
      <c r="Q1264" s="207"/>
      <c r="U1264" s="243"/>
      <c r="V1264" s="243"/>
      <c r="W1264" s="243"/>
      <c r="X1264" s="243"/>
      <c r="Y1264" s="243"/>
      <c r="Z1264" s="243"/>
      <c r="AA1264" s="243"/>
      <c r="AB1264" s="243"/>
      <c r="AC1264" s="243"/>
      <c r="AD1264" s="243"/>
      <c r="AE1264" s="243"/>
    </row>
    <row r="1265">
      <c r="P1265" s="242"/>
      <c r="Q1265" s="207"/>
      <c r="U1265" s="243"/>
      <c r="V1265" s="243"/>
      <c r="W1265" s="243"/>
      <c r="X1265" s="243"/>
      <c r="Y1265" s="243"/>
      <c r="Z1265" s="243"/>
      <c r="AA1265" s="243"/>
      <c r="AB1265" s="243"/>
      <c r="AC1265" s="243"/>
      <c r="AD1265" s="243"/>
      <c r="AE1265" s="243"/>
    </row>
    <row r="1266">
      <c r="P1266" s="242"/>
      <c r="Q1266" s="207"/>
      <c r="U1266" s="243"/>
      <c r="V1266" s="243"/>
      <c r="W1266" s="243"/>
      <c r="X1266" s="243"/>
      <c r="Y1266" s="243"/>
      <c r="Z1266" s="243"/>
      <c r="AA1266" s="243"/>
      <c r="AB1266" s="243"/>
      <c r="AC1266" s="243"/>
      <c r="AD1266" s="243"/>
      <c r="AE1266" s="243"/>
    </row>
    <row r="1267">
      <c r="P1267" s="242"/>
      <c r="Q1267" s="207"/>
      <c r="U1267" s="243"/>
      <c r="V1267" s="243"/>
      <c r="W1267" s="243"/>
      <c r="X1267" s="243"/>
      <c r="Y1267" s="243"/>
      <c r="Z1267" s="243"/>
      <c r="AA1267" s="243"/>
      <c r="AB1267" s="243"/>
      <c r="AC1267" s="243"/>
      <c r="AD1267" s="243"/>
      <c r="AE1267" s="243"/>
    </row>
    <row r="1268">
      <c r="P1268" s="242"/>
      <c r="Q1268" s="207"/>
      <c r="U1268" s="243"/>
      <c r="V1268" s="243"/>
      <c r="W1268" s="243"/>
      <c r="X1268" s="243"/>
      <c r="Y1268" s="243"/>
      <c r="Z1268" s="243"/>
      <c r="AA1268" s="243"/>
      <c r="AB1268" s="243"/>
      <c r="AC1268" s="243"/>
      <c r="AD1268" s="243"/>
      <c r="AE1268" s="243"/>
    </row>
    <row r="1269">
      <c r="P1269" s="242"/>
      <c r="Q1269" s="207"/>
      <c r="U1269" s="243"/>
      <c r="V1269" s="243"/>
      <c r="W1269" s="243"/>
      <c r="X1269" s="243"/>
      <c r="Y1269" s="243"/>
      <c r="Z1269" s="243"/>
      <c r="AA1269" s="243"/>
      <c r="AB1269" s="243"/>
      <c r="AC1269" s="243"/>
      <c r="AD1269" s="243"/>
      <c r="AE1269" s="243"/>
    </row>
    <row r="1270">
      <c r="P1270" s="242"/>
      <c r="Q1270" s="207"/>
      <c r="U1270" s="243"/>
      <c r="V1270" s="243"/>
      <c r="W1270" s="243"/>
      <c r="X1270" s="243"/>
      <c r="Y1270" s="243"/>
      <c r="Z1270" s="243"/>
      <c r="AA1270" s="243"/>
      <c r="AB1270" s="243"/>
      <c r="AC1270" s="243"/>
      <c r="AD1270" s="243"/>
      <c r="AE1270" s="243"/>
    </row>
    <row r="1271">
      <c r="P1271" s="242"/>
      <c r="Q1271" s="207"/>
      <c r="U1271" s="243"/>
      <c r="V1271" s="243"/>
      <c r="W1271" s="243"/>
      <c r="X1271" s="243"/>
      <c r="Y1271" s="243"/>
      <c r="Z1271" s="243"/>
      <c r="AA1271" s="243"/>
      <c r="AB1271" s="243"/>
      <c r="AC1271" s="243"/>
      <c r="AD1271" s="243"/>
      <c r="AE1271" s="243"/>
    </row>
    <row r="1272">
      <c r="P1272" s="242"/>
      <c r="Q1272" s="207"/>
      <c r="U1272" s="243"/>
      <c r="V1272" s="243"/>
      <c r="W1272" s="243"/>
      <c r="X1272" s="243"/>
      <c r="Y1272" s="243"/>
      <c r="Z1272" s="243"/>
      <c r="AA1272" s="243"/>
      <c r="AB1272" s="243"/>
      <c r="AC1272" s="243"/>
      <c r="AD1272" s="243"/>
      <c r="AE1272" s="243"/>
    </row>
    <row r="1273">
      <c r="P1273" s="242"/>
      <c r="Q1273" s="207"/>
      <c r="U1273" s="243"/>
      <c r="V1273" s="243"/>
      <c r="W1273" s="243"/>
      <c r="X1273" s="243"/>
      <c r="Y1273" s="243"/>
      <c r="Z1273" s="243"/>
      <c r="AA1273" s="243"/>
      <c r="AB1273" s="243"/>
      <c r="AC1273" s="243"/>
      <c r="AD1273" s="243"/>
      <c r="AE1273" s="243"/>
    </row>
    <row r="1274">
      <c r="P1274" s="242"/>
      <c r="Q1274" s="207"/>
      <c r="U1274" s="243"/>
      <c r="V1274" s="243"/>
      <c r="W1274" s="243"/>
      <c r="X1274" s="243"/>
      <c r="Y1274" s="243"/>
      <c r="Z1274" s="243"/>
      <c r="AA1274" s="243"/>
      <c r="AB1274" s="243"/>
      <c r="AC1274" s="243"/>
      <c r="AD1274" s="243"/>
      <c r="AE1274" s="243"/>
    </row>
    <row r="1275">
      <c r="P1275" s="242"/>
      <c r="Q1275" s="207"/>
      <c r="U1275" s="243"/>
      <c r="V1275" s="243"/>
      <c r="W1275" s="243"/>
      <c r="X1275" s="243"/>
      <c r="Y1275" s="243"/>
      <c r="Z1275" s="243"/>
      <c r="AA1275" s="243"/>
      <c r="AB1275" s="243"/>
      <c r="AC1275" s="243"/>
      <c r="AD1275" s="243"/>
      <c r="AE1275" s="243"/>
    </row>
    <row r="1276">
      <c r="P1276" s="242"/>
      <c r="Q1276" s="207"/>
      <c r="U1276" s="243"/>
      <c r="V1276" s="243"/>
      <c r="W1276" s="243"/>
      <c r="X1276" s="243"/>
      <c r="Y1276" s="243"/>
      <c r="Z1276" s="243"/>
      <c r="AA1276" s="243"/>
      <c r="AB1276" s="243"/>
      <c r="AC1276" s="243"/>
      <c r="AD1276" s="243"/>
      <c r="AE1276" s="243"/>
    </row>
    <row r="1277">
      <c r="P1277" s="242"/>
      <c r="Q1277" s="207"/>
      <c r="U1277" s="243"/>
      <c r="V1277" s="243"/>
      <c r="W1277" s="243"/>
      <c r="X1277" s="243"/>
      <c r="Y1277" s="243"/>
      <c r="Z1277" s="243"/>
      <c r="AA1277" s="243"/>
      <c r="AB1277" s="243"/>
      <c r="AC1277" s="243"/>
      <c r="AD1277" s="243"/>
      <c r="AE1277" s="243"/>
    </row>
    <row r="1278">
      <c r="P1278" s="242"/>
      <c r="Q1278" s="207"/>
      <c r="U1278" s="243"/>
      <c r="V1278" s="243"/>
      <c r="W1278" s="243"/>
      <c r="X1278" s="243"/>
      <c r="Y1278" s="243"/>
      <c r="Z1278" s="243"/>
      <c r="AA1278" s="243"/>
      <c r="AB1278" s="243"/>
      <c r="AC1278" s="243"/>
      <c r="AD1278" s="243"/>
      <c r="AE1278" s="243"/>
    </row>
    <row r="1279">
      <c r="P1279" s="242"/>
      <c r="Q1279" s="207"/>
      <c r="U1279" s="243"/>
      <c r="V1279" s="243"/>
      <c r="W1279" s="243"/>
      <c r="X1279" s="243"/>
      <c r="Y1279" s="243"/>
      <c r="Z1279" s="243"/>
      <c r="AA1279" s="243"/>
      <c r="AB1279" s="243"/>
      <c r="AC1279" s="243"/>
      <c r="AD1279" s="243"/>
      <c r="AE1279" s="243"/>
    </row>
    <row r="1280">
      <c r="P1280" s="242"/>
      <c r="Q1280" s="207"/>
      <c r="U1280" s="243"/>
      <c r="V1280" s="243"/>
      <c r="W1280" s="243"/>
      <c r="X1280" s="243"/>
      <c r="Y1280" s="243"/>
      <c r="Z1280" s="243"/>
      <c r="AA1280" s="243"/>
      <c r="AB1280" s="243"/>
      <c r="AC1280" s="243"/>
      <c r="AD1280" s="243"/>
      <c r="AE1280" s="243"/>
    </row>
    <row r="1281">
      <c r="P1281" s="242"/>
      <c r="Q1281" s="207"/>
      <c r="U1281" s="243"/>
      <c r="V1281" s="243"/>
      <c r="W1281" s="243"/>
      <c r="X1281" s="243"/>
      <c r="Y1281" s="243"/>
      <c r="Z1281" s="243"/>
      <c r="AA1281" s="243"/>
      <c r="AB1281" s="243"/>
      <c r="AC1281" s="243"/>
      <c r="AD1281" s="243"/>
      <c r="AE1281" s="243"/>
    </row>
    <row r="1282">
      <c r="P1282" s="242"/>
      <c r="Q1282" s="207"/>
      <c r="U1282" s="243"/>
      <c r="V1282" s="243"/>
      <c r="W1282" s="243"/>
      <c r="X1282" s="243"/>
      <c r="Y1282" s="243"/>
      <c r="Z1282" s="243"/>
      <c r="AA1282" s="243"/>
      <c r="AB1282" s="243"/>
      <c r="AC1282" s="243"/>
      <c r="AD1282" s="243"/>
      <c r="AE1282" s="243"/>
    </row>
    <row r="1283">
      <c r="P1283" s="242"/>
      <c r="Q1283" s="207"/>
      <c r="U1283" s="243"/>
      <c r="V1283" s="243"/>
      <c r="W1283" s="243"/>
      <c r="X1283" s="243"/>
      <c r="Y1283" s="243"/>
      <c r="Z1283" s="243"/>
      <c r="AA1283" s="243"/>
      <c r="AB1283" s="243"/>
      <c r="AC1283" s="243"/>
      <c r="AD1283" s="243"/>
      <c r="AE1283" s="243"/>
    </row>
    <row r="1284">
      <c r="P1284" s="242"/>
      <c r="Q1284" s="207"/>
      <c r="U1284" s="243"/>
      <c r="V1284" s="243"/>
      <c r="W1284" s="243"/>
      <c r="X1284" s="243"/>
      <c r="Y1284" s="243"/>
      <c r="Z1284" s="243"/>
      <c r="AA1284" s="243"/>
      <c r="AB1284" s="243"/>
      <c r="AC1284" s="243"/>
      <c r="AD1284" s="243"/>
      <c r="AE1284" s="243"/>
    </row>
    <row r="1285">
      <c r="P1285" s="242"/>
      <c r="Q1285" s="207"/>
      <c r="U1285" s="243"/>
      <c r="V1285" s="243"/>
      <c r="W1285" s="243"/>
      <c r="X1285" s="243"/>
      <c r="Y1285" s="243"/>
      <c r="Z1285" s="243"/>
      <c r="AA1285" s="243"/>
      <c r="AB1285" s="243"/>
      <c r="AC1285" s="243"/>
      <c r="AD1285" s="243"/>
      <c r="AE1285" s="243"/>
    </row>
    <row r="1286">
      <c r="P1286" s="242"/>
      <c r="Q1286" s="207"/>
      <c r="U1286" s="243"/>
      <c r="V1286" s="243"/>
      <c r="W1286" s="243"/>
      <c r="X1286" s="243"/>
      <c r="Y1286" s="243"/>
      <c r="Z1286" s="243"/>
      <c r="AA1286" s="243"/>
      <c r="AB1286" s="243"/>
      <c r="AC1286" s="243"/>
      <c r="AD1286" s="243"/>
      <c r="AE1286" s="243"/>
    </row>
    <row r="1287">
      <c r="P1287" s="242"/>
      <c r="Q1287" s="207"/>
      <c r="U1287" s="243"/>
      <c r="V1287" s="243"/>
      <c r="W1287" s="243"/>
      <c r="X1287" s="243"/>
      <c r="Y1287" s="243"/>
      <c r="Z1287" s="243"/>
      <c r="AA1287" s="243"/>
      <c r="AB1287" s="243"/>
      <c r="AC1287" s="243"/>
      <c r="AD1287" s="243"/>
      <c r="AE1287" s="243"/>
    </row>
    <row r="1288">
      <c r="P1288" s="242"/>
      <c r="Q1288" s="207"/>
      <c r="U1288" s="243"/>
      <c r="V1288" s="243"/>
      <c r="W1288" s="243"/>
      <c r="X1288" s="243"/>
      <c r="Y1288" s="243"/>
      <c r="Z1288" s="243"/>
      <c r="AA1288" s="243"/>
      <c r="AB1288" s="243"/>
      <c r="AC1288" s="243"/>
      <c r="AD1288" s="243"/>
      <c r="AE1288" s="243"/>
    </row>
    <row r="1289">
      <c r="P1289" s="242"/>
      <c r="Q1289" s="207"/>
      <c r="U1289" s="243"/>
      <c r="V1289" s="243"/>
      <c r="W1289" s="243"/>
      <c r="X1289" s="243"/>
      <c r="Y1289" s="243"/>
      <c r="Z1289" s="243"/>
      <c r="AA1289" s="243"/>
      <c r="AB1289" s="243"/>
      <c r="AC1289" s="243"/>
      <c r="AD1289" s="243"/>
      <c r="AE1289" s="243"/>
    </row>
    <row r="1290">
      <c r="P1290" s="242"/>
      <c r="Q1290" s="207"/>
      <c r="U1290" s="243"/>
      <c r="V1290" s="243"/>
      <c r="W1290" s="243"/>
      <c r="X1290" s="243"/>
      <c r="Y1290" s="243"/>
      <c r="Z1290" s="243"/>
      <c r="AA1290" s="243"/>
      <c r="AB1290" s="243"/>
      <c r="AC1290" s="243"/>
      <c r="AD1290" s="243"/>
      <c r="AE1290" s="243"/>
    </row>
    <row r="1291">
      <c r="P1291" s="242"/>
      <c r="Q1291" s="207"/>
      <c r="U1291" s="243"/>
      <c r="V1291" s="243"/>
      <c r="W1291" s="243"/>
      <c r="X1291" s="243"/>
      <c r="Y1291" s="243"/>
      <c r="Z1291" s="243"/>
      <c r="AA1291" s="243"/>
      <c r="AB1291" s="243"/>
      <c r="AC1291" s="243"/>
      <c r="AD1291" s="243"/>
      <c r="AE1291" s="243"/>
    </row>
    <row r="1292">
      <c r="P1292" s="242"/>
      <c r="Q1292" s="207"/>
      <c r="U1292" s="243"/>
      <c r="V1292" s="243"/>
      <c r="W1292" s="243"/>
      <c r="X1292" s="243"/>
      <c r="Y1292" s="243"/>
      <c r="Z1292" s="243"/>
      <c r="AA1292" s="243"/>
      <c r="AB1292" s="243"/>
      <c r="AC1292" s="243"/>
      <c r="AD1292" s="243"/>
      <c r="AE1292" s="243"/>
    </row>
    <row r="1293">
      <c r="P1293" s="242"/>
      <c r="Q1293" s="207"/>
      <c r="U1293" s="243"/>
      <c r="V1293" s="243"/>
      <c r="W1293" s="243"/>
      <c r="X1293" s="243"/>
      <c r="Y1293" s="243"/>
      <c r="Z1293" s="243"/>
      <c r="AA1293" s="243"/>
      <c r="AB1293" s="243"/>
      <c r="AC1293" s="243"/>
      <c r="AD1293" s="243"/>
      <c r="AE1293" s="243"/>
    </row>
    <row r="1294">
      <c r="P1294" s="242"/>
      <c r="Q1294" s="207"/>
      <c r="U1294" s="243"/>
      <c r="V1294" s="243"/>
      <c r="W1294" s="243"/>
      <c r="X1294" s="243"/>
      <c r="Y1294" s="243"/>
      <c r="Z1294" s="243"/>
      <c r="AA1294" s="243"/>
      <c r="AB1294" s="243"/>
      <c r="AC1294" s="243"/>
      <c r="AD1294" s="243"/>
      <c r="AE1294" s="243"/>
    </row>
    <row r="1295">
      <c r="P1295" s="242"/>
      <c r="Q1295" s="207"/>
      <c r="U1295" s="243"/>
      <c r="V1295" s="243"/>
      <c r="W1295" s="243"/>
      <c r="X1295" s="243"/>
      <c r="Y1295" s="243"/>
      <c r="Z1295" s="243"/>
      <c r="AA1295" s="243"/>
      <c r="AB1295" s="243"/>
      <c r="AC1295" s="243"/>
      <c r="AD1295" s="243"/>
      <c r="AE1295" s="243"/>
    </row>
    <row r="1296">
      <c r="P1296" s="242"/>
      <c r="Q1296" s="207"/>
      <c r="U1296" s="243"/>
      <c r="V1296" s="243"/>
      <c r="W1296" s="243"/>
      <c r="X1296" s="243"/>
      <c r="Y1296" s="243"/>
      <c r="Z1296" s="243"/>
      <c r="AA1296" s="243"/>
      <c r="AB1296" s="243"/>
      <c r="AC1296" s="243"/>
      <c r="AD1296" s="243"/>
      <c r="AE1296" s="243"/>
    </row>
    <row r="1297">
      <c r="P1297" s="242"/>
      <c r="Q1297" s="207"/>
      <c r="U1297" s="243"/>
      <c r="V1297" s="243"/>
      <c r="W1297" s="243"/>
      <c r="X1297" s="243"/>
      <c r="Y1297" s="243"/>
      <c r="Z1297" s="243"/>
      <c r="AA1297" s="243"/>
      <c r="AB1297" s="243"/>
      <c r="AC1297" s="243"/>
      <c r="AD1297" s="243"/>
      <c r="AE1297" s="243"/>
    </row>
    <row r="1298">
      <c r="P1298" s="242"/>
      <c r="Q1298" s="207"/>
      <c r="U1298" s="243"/>
      <c r="V1298" s="243"/>
      <c r="W1298" s="243"/>
      <c r="X1298" s="243"/>
      <c r="Y1298" s="243"/>
      <c r="Z1298" s="243"/>
      <c r="AA1298" s="243"/>
      <c r="AB1298" s="243"/>
      <c r="AC1298" s="243"/>
      <c r="AD1298" s="243"/>
      <c r="AE1298" s="243"/>
    </row>
    <row r="1299">
      <c r="P1299" s="242"/>
      <c r="Q1299" s="207"/>
      <c r="U1299" s="243"/>
      <c r="V1299" s="243"/>
      <c r="W1299" s="243"/>
      <c r="X1299" s="243"/>
      <c r="Y1299" s="243"/>
      <c r="Z1299" s="243"/>
      <c r="AA1299" s="243"/>
      <c r="AB1299" s="243"/>
      <c r="AC1299" s="243"/>
      <c r="AD1299" s="243"/>
      <c r="AE1299" s="243"/>
    </row>
    <row r="1300">
      <c r="P1300" s="242"/>
      <c r="Q1300" s="207"/>
      <c r="U1300" s="243"/>
      <c r="V1300" s="243"/>
      <c r="W1300" s="243"/>
      <c r="X1300" s="243"/>
      <c r="Y1300" s="243"/>
      <c r="Z1300" s="243"/>
      <c r="AA1300" s="243"/>
      <c r="AB1300" s="243"/>
      <c r="AC1300" s="243"/>
      <c r="AD1300" s="243"/>
      <c r="AE1300" s="243"/>
    </row>
    <row r="1301">
      <c r="P1301" s="242"/>
      <c r="Q1301" s="207"/>
      <c r="U1301" s="243"/>
      <c r="V1301" s="243"/>
      <c r="W1301" s="243"/>
      <c r="X1301" s="243"/>
      <c r="Y1301" s="243"/>
      <c r="Z1301" s="243"/>
      <c r="AA1301" s="243"/>
      <c r="AB1301" s="243"/>
      <c r="AC1301" s="243"/>
      <c r="AD1301" s="243"/>
      <c r="AE1301" s="243"/>
    </row>
    <row r="1302">
      <c r="P1302" s="242"/>
      <c r="Q1302" s="207"/>
      <c r="U1302" s="243"/>
      <c r="V1302" s="243"/>
      <c r="W1302" s="243"/>
      <c r="X1302" s="243"/>
      <c r="Y1302" s="243"/>
      <c r="Z1302" s="243"/>
      <c r="AA1302" s="243"/>
      <c r="AB1302" s="243"/>
      <c r="AC1302" s="243"/>
      <c r="AD1302" s="243"/>
      <c r="AE1302" s="243"/>
    </row>
    <row r="1303">
      <c r="P1303" s="242"/>
      <c r="Q1303" s="207"/>
      <c r="U1303" s="243"/>
      <c r="V1303" s="243"/>
      <c r="W1303" s="243"/>
      <c r="X1303" s="243"/>
      <c r="Y1303" s="243"/>
      <c r="Z1303" s="243"/>
      <c r="AA1303" s="243"/>
      <c r="AB1303" s="243"/>
      <c r="AC1303" s="243"/>
      <c r="AD1303" s="243"/>
      <c r="AE1303" s="243"/>
    </row>
    <row r="1304">
      <c r="P1304" s="242"/>
      <c r="Q1304" s="207"/>
      <c r="U1304" s="243"/>
      <c r="V1304" s="243"/>
      <c r="W1304" s="243"/>
      <c r="X1304" s="243"/>
      <c r="Y1304" s="243"/>
      <c r="Z1304" s="243"/>
      <c r="AA1304" s="243"/>
      <c r="AB1304" s="243"/>
      <c r="AC1304" s="243"/>
      <c r="AD1304" s="243"/>
      <c r="AE1304" s="243"/>
    </row>
    <row r="1305">
      <c r="P1305" s="242"/>
      <c r="Q1305" s="207"/>
      <c r="U1305" s="243"/>
      <c r="V1305" s="243"/>
      <c r="W1305" s="243"/>
      <c r="X1305" s="243"/>
      <c r="Y1305" s="243"/>
      <c r="Z1305" s="243"/>
      <c r="AA1305" s="243"/>
      <c r="AB1305" s="243"/>
      <c r="AC1305" s="243"/>
      <c r="AD1305" s="243"/>
      <c r="AE1305" s="243"/>
    </row>
    <row r="1306">
      <c r="P1306" s="242"/>
      <c r="Q1306" s="207"/>
      <c r="U1306" s="243"/>
      <c r="V1306" s="243"/>
      <c r="W1306" s="243"/>
      <c r="X1306" s="243"/>
      <c r="Y1306" s="243"/>
      <c r="Z1306" s="243"/>
      <c r="AA1306" s="243"/>
      <c r="AB1306" s="243"/>
      <c r="AC1306" s="243"/>
      <c r="AD1306" s="243"/>
      <c r="AE1306" s="243"/>
    </row>
    <row r="1307">
      <c r="P1307" s="242"/>
      <c r="Q1307" s="207"/>
      <c r="U1307" s="243"/>
      <c r="V1307" s="243"/>
      <c r="W1307" s="243"/>
      <c r="X1307" s="243"/>
      <c r="Y1307" s="243"/>
      <c r="Z1307" s="243"/>
      <c r="AA1307" s="243"/>
      <c r="AB1307" s="243"/>
      <c r="AC1307" s="243"/>
      <c r="AD1307" s="243"/>
      <c r="AE1307" s="243"/>
    </row>
    <row r="1308">
      <c r="P1308" s="242"/>
      <c r="Q1308" s="207"/>
      <c r="U1308" s="243"/>
      <c r="V1308" s="243"/>
      <c r="W1308" s="243"/>
      <c r="X1308" s="243"/>
      <c r="Y1308" s="243"/>
      <c r="Z1308" s="243"/>
      <c r="AA1308" s="243"/>
      <c r="AB1308" s="243"/>
      <c r="AC1308" s="243"/>
      <c r="AD1308" s="243"/>
      <c r="AE1308" s="243"/>
    </row>
    <row r="1309">
      <c r="P1309" s="242"/>
      <c r="Q1309" s="207"/>
      <c r="U1309" s="243"/>
      <c r="V1309" s="243"/>
      <c r="W1309" s="243"/>
      <c r="X1309" s="243"/>
      <c r="Y1309" s="243"/>
      <c r="Z1309" s="243"/>
      <c r="AA1309" s="243"/>
      <c r="AB1309" s="243"/>
      <c r="AC1309" s="243"/>
      <c r="AD1309" s="243"/>
      <c r="AE1309" s="243"/>
    </row>
    <row r="1310">
      <c r="P1310" s="242"/>
      <c r="Q1310" s="207"/>
      <c r="U1310" s="243"/>
      <c r="V1310" s="243"/>
      <c r="W1310" s="243"/>
      <c r="X1310" s="243"/>
      <c r="Y1310" s="243"/>
      <c r="Z1310" s="243"/>
      <c r="AA1310" s="243"/>
      <c r="AB1310" s="243"/>
      <c r="AC1310" s="243"/>
      <c r="AD1310" s="243"/>
      <c r="AE1310" s="243"/>
    </row>
    <row r="1311">
      <c r="P1311" s="242"/>
      <c r="Q1311" s="207"/>
      <c r="U1311" s="243"/>
      <c r="V1311" s="243"/>
      <c r="W1311" s="243"/>
      <c r="X1311" s="243"/>
      <c r="Y1311" s="243"/>
      <c r="Z1311" s="243"/>
      <c r="AA1311" s="243"/>
      <c r="AB1311" s="243"/>
      <c r="AC1311" s="243"/>
      <c r="AD1311" s="243"/>
      <c r="AE1311" s="243"/>
    </row>
    <row r="1312">
      <c r="P1312" s="242"/>
      <c r="Q1312" s="207"/>
      <c r="U1312" s="243"/>
      <c r="V1312" s="243"/>
      <c r="W1312" s="243"/>
      <c r="X1312" s="243"/>
      <c r="Y1312" s="243"/>
      <c r="Z1312" s="243"/>
      <c r="AA1312" s="243"/>
      <c r="AB1312" s="243"/>
      <c r="AC1312" s="243"/>
      <c r="AD1312" s="243"/>
      <c r="AE1312" s="243"/>
    </row>
    <row r="1313">
      <c r="P1313" s="242"/>
      <c r="Q1313" s="207"/>
      <c r="U1313" s="243"/>
      <c r="V1313" s="243"/>
      <c r="W1313" s="243"/>
      <c r="X1313" s="243"/>
      <c r="Y1313" s="243"/>
      <c r="Z1313" s="243"/>
      <c r="AA1313" s="243"/>
      <c r="AB1313" s="243"/>
      <c r="AC1313" s="243"/>
      <c r="AD1313" s="243"/>
      <c r="AE1313" s="243"/>
    </row>
    <row r="1314">
      <c r="P1314" s="242"/>
      <c r="Q1314" s="207"/>
      <c r="U1314" s="243"/>
      <c r="V1314" s="243"/>
      <c r="W1314" s="243"/>
      <c r="X1314" s="243"/>
      <c r="Y1314" s="243"/>
      <c r="Z1314" s="243"/>
      <c r="AA1314" s="243"/>
      <c r="AB1314" s="243"/>
      <c r="AC1314" s="243"/>
      <c r="AD1314" s="243"/>
      <c r="AE1314" s="243"/>
    </row>
    <row r="1315">
      <c r="P1315" s="242"/>
      <c r="Q1315" s="207"/>
      <c r="U1315" s="243"/>
      <c r="V1315" s="243"/>
      <c r="W1315" s="243"/>
      <c r="X1315" s="243"/>
      <c r="Y1315" s="243"/>
      <c r="Z1315" s="243"/>
      <c r="AA1315" s="243"/>
      <c r="AB1315" s="243"/>
      <c r="AC1315" s="243"/>
      <c r="AD1315" s="243"/>
      <c r="AE1315" s="243"/>
    </row>
    <row r="1316">
      <c r="P1316" s="242"/>
      <c r="Q1316" s="207"/>
      <c r="U1316" s="243"/>
      <c r="V1316" s="243"/>
      <c r="W1316" s="243"/>
      <c r="X1316" s="243"/>
      <c r="Y1316" s="243"/>
      <c r="Z1316" s="243"/>
      <c r="AA1316" s="243"/>
      <c r="AB1316" s="243"/>
      <c r="AC1316" s="243"/>
      <c r="AD1316" s="243"/>
      <c r="AE1316" s="243"/>
    </row>
    <row r="1317">
      <c r="P1317" s="242"/>
      <c r="Q1317" s="207"/>
      <c r="U1317" s="243"/>
      <c r="V1317" s="243"/>
      <c r="W1317" s="243"/>
      <c r="X1317" s="243"/>
      <c r="Y1317" s="243"/>
      <c r="Z1317" s="243"/>
      <c r="AA1317" s="243"/>
      <c r="AB1317" s="243"/>
      <c r="AC1317" s="243"/>
      <c r="AD1317" s="243"/>
      <c r="AE1317" s="243"/>
    </row>
    <row r="1318">
      <c r="P1318" s="242"/>
      <c r="Q1318" s="207"/>
      <c r="U1318" s="243"/>
      <c r="V1318" s="243"/>
      <c r="W1318" s="243"/>
      <c r="X1318" s="243"/>
      <c r="Y1318" s="243"/>
      <c r="Z1318" s="243"/>
      <c r="AA1318" s="243"/>
      <c r="AB1318" s="243"/>
      <c r="AC1318" s="243"/>
      <c r="AD1318" s="243"/>
      <c r="AE1318" s="243"/>
    </row>
    <row r="1319">
      <c r="P1319" s="242"/>
      <c r="Q1319" s="207"/>
      <c r="U1319" s="243"/>
      <c r="V1319" s="243"/>
      <c r="W1319" s="243"/>
      <c r="X1319" s="243"/>
      <c r="Y1319" s="243"/>
      <c r="Z1319" s="243"/>
      <c r="AA1319" s="243"/>
      <c r="AB1319" s="243"/>
      <c r="AC1319" s="243"/>
      <c r="AD1319" s="243"/>
      <c r="AE1319" s="243"/>
    </row>
    <row r="1320">
      <c r="P1320" s="242"/>
      <c r="Q1320" s="207"/>
      <c r="U1320" s="243"/>
      <c r="V1320" s="243"/>
      <c r="W1320" s="243"/>
      <c r="X1320" s="243"/>
      <c r="Y1320" s="243"/>
      <c r="Z1320" s="243"/>
      <c r="AA1320" s="243"/>
      <c r="AB1320" s="243"/>
      <c r="AC1320" s="243"/>
      <c r="AD1320" s="243"/>
      <c r="AE1320" s="243"/>
    </row>
    <row r="1321">
      <c r="P1321" s="242"/>
      <c r="Q1321" s="207"/>
      <c r="U1321" s="243"/>
      <c r="V1321" s="243"/>
      <c r="W1321" s="243"/>
      <c r="X1321" s="243"/>
      <c r="Y1321" s="243"/>
      <c r="Z1321" s="243"/>
      <c r="AA1321" s="243"/>
      <c r="AB1321" s="243"/>
      <c r="AC1321" s="243"/>
      <c r="AD1321" s="243"/>
      <c r="AE1321" s="243"/>
    </row>
    <row r="1322">
      <c r="P1322" s="242"/>
      <c r="Q1322" s="207"/>
      <c r="U1322" s="243"/>
      <c r="V1322" s="243"/>
      <c r="W1322" s="243"/>
      <c r="X1322" s="243"/>
      <c r="Y1322" s="243"/>
      <c r="Z1322" s="243"/>
      <c r="AA1322" s="243"/>
      <c r="AB1322" s="243"/>
      <c r="AC1322" s="243"/>
      <c r="AD1322" s="243"/>
      <c r="AE1322" s="243"/>
    </row>
    <row r="1323">
      <c r="P1323" s="242"/>
      <c r="Q1323" s="207"/>
      <c r="U1323" s="243"/>
      <c r="V1323" s="243"/>
      <c r="W1323" s="243"/>
      <c r="X1323" s="243"/>
      <c r="Y1323" s="243"/>
      <c r="Z1323" s="243"/>
      <c r="AA1323" s="243"/>
      <c r="AB1323" s="243"/>
      <c r="AC1323" s="243"/>
      <c r="AD1323" s="243"/>
      <c r="AE1323" s="243"/>
    </row>
    <row r="1324">
      <c r="P1324" s="242"/>
      <c r="Q1324" s="207"/>
      <c r="U1324" s="243"/>
      <c r="V1324" s="243"/>
      <c r="W1324" s="243"/>
      <c r="X1324" s="243"/>
      <c r="Y1324" s="243"/>
      <c r="Z1324" s="243"/>
      <c r="AA1324" s="243"/>
      <c r="AB1324" s="243"/>
      <c r="AC1324" s="243"/>
      <c r="AD1324" s="243"/>
      <c r="AE1324" s="243"/>
    </row>
    <row r="1325">
      <c r="P1325" s="242"/>
      <c r="Q1325" s="207"/>
      <c r="U1325" s="243"/>
      <c r="V1325" s="243"/>
      <c r="W1325" s="243"/>
      <c r="X1325" s="243"/>
      <c r="Y1325" s="243"/>
      <c r="Z1325" s="243"/>
      <c r="AA1325" s="243"/>
      <c r="AB1325" s="243"/>
      <c r="AC1325" s="243"/>
      <c r="AD1325" s="243"/>
      <c r="AE1325" s="243"/>
    </row>
    <row r="1326">
      <c r="P1326" s="242"/>
      <c r="Q1326" s="207"/>
      <c r="U1326" s="243"/>
      <c r="V1326" s="243"/>
      <c r="W1326" s="243"/>
      <c r="X1326" s="243"/>
      <c r="Y1326" s="243"/>
      <c r="Z1326" s="243"/>
      <c r="AA1326" s="243"/>
      <c r="AB1326" s="243"/>
      <c r="AC1326" s="243"/>
      <c r="AD1326" s="243"/>
      <c r="AE1326" s="243"/>
    </row>
    <row r="1327">
      <c r="P1327" s="242"/>
      <c r="Q1327" s="207"/>
      <c r="U1327" s="243"/>
      <c r="V1327" s="243"/>
      <c r="W1327" s="243"/>
      <c r="X1327" s="243"/>
      <c r="Y1327" s="243"/>
      <c r="Z1327" s="243"/>
      <c r="AA1327" s="243"/>
      <c r="AB1327" s="243"/>
      <c r="AC1327" s="243"/>
      <c r="AD1327" s="243"/>
      <c r="AE1327" s="243"/>
    </row>
    <row r="1328">
      <c r="P1328" s="242"/>
      <c r="Q1328" s="207"/>
      <c r="U1328" s="243"/>
      <c r="V1328" s="243"/>
      <c r="W1328" s="243"/>
      <c r="X1328" s="243"/>
      <c r="Y1328" s="243"/>
      <c r="Z1328" s="243"/>
      <c r="AA1328" s="243"/>
      <c r="AB1328" s="243"/>
      <c r="AC1328" s="243"/>
      <c r="AD1328" s="243"/>
      <c r="AE1328" s="243"/>
    </row>
    <row r="1329">
      <c r="P1329" s="242"/>
      <c r="Q1329" s="207"/>
      <c r="U1329" s="243"/>
      <c r="V1329" s="243"/>
      <c r="W1329" s="243"/>
      <c r="X1329" s="243"/>
      <c r="Y1329" s="243"/>
      <c r="Z1329" s="243"/>
      <c r="AA1329" s="243"/>
      <c r="AB1329" s="243"/>
      <c r="AC1329" s="243"/>
      <c r="AD1329" s="243"/>
      <c r="AE1329" s="243"/>
    </row>
    <row r="1330">
      <c r="P1330" s="242"/>
      <c r="Q1330" s="207"/>
      <c r="U1330" s="243"/>
      <c r="V1330" s="243"/>
      <c r="W1330" s="243"/>
      <c r="X1330" s="243"/>
      <c r="Y1330" s="243"/>
      <c r="Z1330" s="243"/>
      <c r="AA1330" s="243"/>
      <c r="AB1330" s="243"/>
      <c r="AC1330" s="243"/>
      <c r="AD1330" s="243"/>
      <c r="AE1330" s="243"/>
    </row>
    <row r="1331">
      <c r="P1331" s="242"/>
      <c r="Q1331" s="207"/>
      <c r="U1331" s="243"/>
      <c r="V1331" s="243"/>
      <c r="W1331" s="243"/>
      <c r="X1331" s="243"/>
      <c r="Y1331" s="243"/>
      <c r="Z1331" s="243"/>
      <c r="AA1331" s="243"/>
      <c r="AB1331" s="243"/>
      <c r="AC1331" s="243"/>
      <c r="AD1331" s="243"/>
      <c r="AE1331" s="243"/>
    </row>
    <row r="1332">
      <c r="P1332" s="242"/>
      <c r="Q1332" s="207"/>
      <c r="U1332" s="243"/>
      <c r="V1332" s="243"/>
      <c r="W1332" s="243"/>
      <c r="X1332" s="243"/>
      <c r="Y1332" s="243"/>
      <c r="Z1332" s="243"/>
      <c r="AA1332" s="243"/>
      <c r="AB1332" s="243"/>
      <c r="AC1332" s="243"/>
      <c r="AD1332" s="243"/>
      <c r="AE1332" s="243"/>
    </row>
    <row r="1333">
      <c r="P1333" s="242"/>
      <c r="Q1333" s="207"/>
      <c r="U1333" s="243"/>
      <c r="V1333" s="243"/>
      <c r="W1333" s="243"/>
      <c r="X1333" s="243"/>
      <c r="Y1333" s="243"/>
      <c r="Z1333" s="243"/>
      <c r="AA1333" s="243"/>
      <c r="AB1333" s="243"/>
      <c r="AC1333" s="243"/>
      <c r="AD1333" s="243"/>
      <c r="AE1333" s="243"/>
    </row>
    <row r="1334">
      <c r="P1334" s="242"/>
      <c r="Q1334" s="207"/>
      <c r="U1334" s="243"/>
      <c r="V1334" s="243"/>
      <c r="W1334" s="243"/>
      <c r="X1334" s="243"/>
      <c r="Y1334" s="243"/>
      <c r="Z1334" s="243"/>
      <c r="AA1334" s="243"/>
      <c r="AB1334" s="243"/>
      <c r="AC1334" s="243"/>
      <c r="AD1334" s="243"/>
      <c r="AE1334" s="243"/>
    </row>
    <row r="1335">
      <c r="P1335" s="242"/>
      <c r="Q1335" s="207"/>
      <c r="U1335" s="243"/>
      <c r="V1335" s="243"/>
      <c r="W1335" s="243"/>
      <c r="X1335" s="243"/>
      <c r="Y1335" s="243"/>
      <c r="Z1335" s="243"/>
      <c r="AA1335" s="243"/>
      <c r="AB1335" s="243"/>
      <c r="AC1335" s="243"/>
      <c r="AD1335" s="243"/>
      <c r="AE1335" s="243"/>
    </row>
    <row r="1336">
      <c r="P1336" s="242"/>
      <c r="Q1336" s="207"/>
      <c r="U1336" s="243"/>
      <c r="V1336" s="243"/>
      <c r="W1336" s="243"/>
      <c r="X1336" s="243"/>
      <c r="Y1336" s="243"/>
      <c r="Z1336" s="243"/>
      <c r="AA1336" s="243"/>
      <c r="AB1336" s="243"/>
      <c r="AC1336" s="243"/>
      <c r="AD1336" s="243"/>
      <c r="AE1336" s="243"/>
    </row>
    <row r="1337">
      <c r="P1337" s="242"/>
      <c r="Q1337" s="207"/>
      <c r="U1337" s="243"/>
      <c r="V1337" s="243"/>
      <c r="W1337" s="243"/>
      <c r="X1337" s="243"/>
      <c r="Y1337" s="243"/>
      <c r="Z1337" s="243"/>
      <c r="AA1337" s="243"/>
      <c r="AB1337" s="243"/>
      <c r="AC1337" s="243"/>
      <c r="AD1337" s="243"/>
      <c r="AE1337" s="243"/>
    </row>
    <row r="1338">
      <c r="P1338" s="242"/>
      <c r="Q1338" s="207"/>
      <c r="U1338" s="243"/>
      <c r="V1338" s="243"/>
      <c r="W1338" s="243"/>
      <c r="X1338" s="243"/>
      <c r="Y1338" s="243"/>
      <c r="Z1338" s="243"/>
      <c r="AA1338" s="243"/>
      <c r="AB1338" s="243"/>
      <c r="AC1338" s="243"/>
      <c r="AD1338" s="243"/>
      <c r="AE1338" s="243"/>
    </row>
    <row r="1339">
      <c r="P1339" s="242"/>
      <c r="Q1339" s="207"/>
      <c r="U1339" s="243"/>
      <c r="V1339" s="243"/>
      <c r="W1339" s="243"/>
      <c r="X1339" s="243"/>
      <c r="Y1339" s="243"/>
      <c r="Z1339" s="243"/>
      <c r="AA1339" s="243"/>
      <c r="AB1339" s="243"/>
      <c r="AC1339" s="243"/>
      <c r="AD1339" s="243"/>
      <c r="AE1339" s="243"/>
    </row>
    <row r="1340">
      <c r="P1340" s="242"/>
      <c r="Q1340" s="207"/>
      <c r="U1340" s="243"/>
      <c r="V1340" s="243"/>
      <c r="W1340" s="243"/>
      <c r="X1340" s="243"/>
      <c r="Y1340" s="243"/>
      <c r="Z1340" s="243"/>
      <c r="AA1340" s="243"/>
      <c r="AB1340" s="243"/>
      <c r="AC1340" s="243"/>
      <c r="AD1340" s="243"/>
      <c r="AE1340" s="243"/>
    </row>
    <row r="1341">
      <c r="P1341" s="242"/>
      <c r="Q1341" s="207"/>
      <c r="U1341" s="243"/>
      <c r="V1341" s="243"/>
      <c r="W1341" s="243"/>
      <c r="X1341" s="243"/>
      <c r="Y1341" s="243"/>
      <c r="Z1341" s="243"/>
      <c r="AA1341" s="243"/>
      <c r="AB1341" s="243"/>
      <c r="AC1341" s="243"/>
      <c r="AD1341" s="243"/>
      <c r="AE1341" s="243"/>
    </row>
    <row r="1342">
      <c r="P1342" s="242"/>
      <c r="Q1342" s="207"/>
      <c r="U1342" s="243"/>
      <c r="V1342" s="243"/>
      <c r="W1342" s="243"/>
      <c r="X1342" s="243"/>
      <c r="Y1342" s="243"/>
      <c r="Z1342" s="243"/>
      <c r="AA1342" s="243"/>
      <c r="AB1342" s="243"/>
      <c r="AC1342" s="243"/>
      <c r="AD1342" s="243"/>
      <c r="AE1342" s="243"/>
    </row>
    <row r="1343">
      <c r="P1343" s="242"/>
      <c r="Q1343" s="207"/>
      <c r="U1343" s="243"/>
      <c r="V1343" s="243"/>
      <c r="W1343" s="243"/>
      <c r="X1343" s="243"/>
      <c r="Y1343" s="243"/>
      <c r="Z1343" s="243"/>
      <c r="AA1343" s="243"/>
      <c r="AB1343" s="243"/>
      <c r="AC1343" s="243"/>
      <c r="AD1343" s="243"/>
      <c r="AE1343" s="243"/>
    </row>
    <row r="1344">
      <c r="P1344" s="242"/>
      <c r="Q1344" s="207"/>
      <c r="U1344" s="243"/>
      <c r="V1344" s="243"/>
      <c r="W1344" s="243"/>
      <c r="X1344" s="243"/>
      <c r="Y1344" s="243"/>
      <c r="Z1344" s="243"/>
      <c r="AA1344" s="243"/>
      <c r="AB1344" s="243"/>
      <c r="AC1344" s="243"/>
      <c r="AD1344" s="243"/>
      <c r="AE1344" s="243"/>
    </row>
    <row r="1345">
      <c r="P1345" s="242"/>
      <c r="Q1345" s="207"/>
      <c r="U1345" s="243"/>
      <c r="V1345" s="243"/>
      <c r="W1345" s="243"/>
      <c r="X1345" s="243"/>
      <c r="Y1345" s="243"/>
      <c r="Z1345" s="243"/>
      <c r="AA1345" s="243"/>
      <c r="AB1345" s="243"/>
      <c r="AC1345" s="243"/>
      <c r="AD1345" s="243"/>
      <c r="AE1345" s="243"/>
    </row>
    <row r="1346">
      <c r="P1346" s="242"/>
      <c r="Q1346" s="207"/>
      <c r="U1346" s="243"/>
      <c r="V1346" s="243"/>
      <c r="W1346" s="243"/>
      <c r="X1346" s="243"/>
      <c r="Y1346" s="243"/>
      <c r="Z1346" s="243"/>
      <c r="AA1346" s="243"/>
      <c r="AB1346" s="243"/>
      <c r="AC1346" s="243"/>
      <c r="AD1346" s="243"/>
      <c r="AE1346" s="243"/>
    </row>
    <row r="1347">
      <c r="P1347" s="242"/>
      <c r="Q1347" s="207"/>
      <c r="U1347" s="243"/>
      <c r="V1347" s="243"/>
      <c r="W1347" s="243"/>
      <c r="X1347" s="243"/>
      <c r="Y1347" s="243"/>
      <c r="Z1347" s="243"/>
      <c r="AA1347" s="243"/>
      <c r="AB1347" s="243"/>
      <c r="AC1347" s="243"/>
      <c r="AD1347" s="243"/>
      <c r="AE1347" s="243"/>
    </row>
    <row r="1348">
      <c r="P1348" s="242"/>
      <c r="Q1348" s="207"/>
      <c r="U1348" s="243"/>
      <c r="V1348" s="243"/>
      <c r="W1348" s="243"/>
      <c r="X1348" s="243"/>
      <c r="Y1348" s="243"/>
      <c r="Z1348" s="243"/>
      <c r="AA1348" s="243"/>
      <c r="AB1348" s="243"/>
      <c r="AC1348" s="243"/>
      <c r="AD1348" s="243"/>
      <c r="AE1348" s="243"/>
    </row>
    <row r="1349">
      <c r="P1349" s="242"/>
      <c r="Q1349" s="207"/>
      <c r="U1349" s="243"/>
      <c r="V1349" s="243"/>
      <c r="W1349" s="243"/>
      <c r="X1349" s="243"/>
      <c r="Y1349" s="243"/>
      <c r="Z1349" s="243"/>
      <c r="AA1349" s="243"/>
      <c r="AB1349" s="243"/>
      <c r="AC1349" s="243"/>
      <c r="AD1349" s="243"/>
      <c r="AE1349" s="243"/>
    </row>
    <row r="1350">
      <c r="P1350" s="242"/>
      <c r="Q1350" s="207"/>
      <c r="U1350" s="243"/>
      <c r="V1350" s="243"/>
      <c r="W1350" s="243"/>
      <c r="X1350" s="243"/>
      <c r="Y1350" s="243"/>
      <c r="Z1350" s="243"/>
      <c r="AA1350" s="243"/>
      <c r="AB1350" s="243"/>
      <c r="AC1350" s="243"/>
      <c r="AD1350" s="243"/>
      <c r="AE1350" s="243"/>
    </row>
    <row r="1351">
      <c r="P1351" s="242"/>
      <c r="Q1351" s="207"/>
      <c r="U1351" s="243"/>
      <c r="V1351" s="243"/>
      <c r="W1351" s="243"/>
      <c r="X1351" s="243"/>
      <c r="Y1351" s="243"/>
      <c r="Z1351" s="243"/>
      <c r="AA1351" s="243"/>
      <c r="AB1351" s="243"/>
      <c r="AC1351" s="243"/>
      <c r="AD1351" s="243"/>
      <c r="AE1351" s="243"/>
    </row>
    <row r="1352">
      <c r="P1352" s="242"/>
      <c r="Q1352" s="207"/>
      <c r="U1352" s="243"/>
      <c r="V1352" s="243"/>
      <c r="W1352" s="243"/>
      <c r="X1352" s="243"/>
      <c r="Y1352" s="243"/>
      <c r="Z1352" s="243"/>
      <c r="AA1352" s="243"/>
      <c r="AB1352" s="243"/>
      <c r="AC1352" s="243"/>
      <c r="AD1352" s="243"/>
      <c r="AE1352" s="243"/>
    </row>
    <row r="1353">
      <c r="P1353" s="242"/>
      <c r="Q1353" s="207"/>
      <c r="U1353" s="243"/>
      <c r="V1353" s="243"/>
      <c r="W1353" s="243"/>
      <c r="X1353" s="243"/>
      <c r="Y1353" s="243"/>
      <c r="Z1353" s="243"/>
      <c r="AA1353" s="243"/>
      <c r="AB1353" s="243"/>
      <c r="AC1353" s="243"/>
      <c r="AD1353" s="243"/>
      <c r="AE1353" s="243"/>
    </row>
    <row r="1354">
      <c r="P1354" s="242"/>
      <c r="Q1354" s="207"/>
      <c r="U1354" s="243"/>
      <c r="V1354" s="243"/>
      <c r="W1354" s="243"/>
      <c r="X1354" s="243"/>
      <c r="Y1354" s="243"/>
      <c r="Z1354" s="243"/>
      <c r="AA1354" s="243"/>
      <c r="AB1354" s="243"/>
      <c r="AC1354" s="243"/>
      <c r="AD1354" s="243"/>
      <c r="AE1354" s="243"/>
    </row>
    <row r="1355">
      <c r="P1355" s="242"/>
      <c r="Q1355" s="207"/>
      <c r="U1355" s="243"/>
      <c r="V1355" s="243"/>
      <c r="W1355" s="243"/>
      <c r="X1355" s="243"/>
      <c r="Y1355" s="243"/>
      <c r="Z1355" s="243"/>
      <c r="AA1355" s="243"/>
      <c r="AB1355" s="243"/>
      <c r="AC1355" s="243"/>
      <c r="AD1355" s="243"/>
      <c r="AE1355" s="243"/>
    </row>
    <row r="1356">
      <c r="P1356" s="242"/>
      <c r="Q1356" s="207"/>
      <c r="U1356" s="243"/>
      <c r="V1356" s="243"/>
      <c r="W1356" s="243"/>
      <c r="X1356" s="243"/>
      <c r="Y1356" s="243"/>
      <c r="Z1356" s="243"/>
      <c r="AA1356" s="243"/>
      <c r="AB1356" s="243"/>
      <c r="AC1356" s="243"/>
      <c r="AD1356" s="243"/>
      <c r="AE1356" s="243"/>
    </row>
    <row r="1357">
      <c r="P1357" s="242"/>
      <c r="Q1357" s="207"/>
      <c r="U1357" s="243"/>
      <c r="V1357" s="243"/>
      <c r="W1357" s="243"/>
      <c r="X1357" s="243"/>
      <c r="Y1357" s="243"/>
      <c r="Z1357" s="243"/>
      <c r="AA1357" s="243"/>
      <c r="AB1357" s="243"/>
      <c r="AC1357" s="243"/>
      <c r="AD1357" s="243"/>
      <c r="AE1357" s="243"/>
    </row>
    <row r="1358">
      <c r="P1358" s="242"/>
      <c r="Q1358" s="207"/>
      <c r="U1358" s="243"/>
      <c r="V1358" s="243"/>
      <c r="W1358" s="243"/>
      <c r="X1358" s="243"/>
      <c r="Y1358" s="243"/>
      <c r="Z1358" s="243"/>
      <c r="AA1358" s="243"/>
      <c r="AB1358" s="243"/>
      <c r="AC1358" s="243"/>
      <c r="AD1358" s="243"/>
      <c r="AE1358" s="243"/>
    </row>
    <row r="1359">
      <c r="P1359" s="242"/>
      <c r="Q1359" s="207"/>
      <c r="U1359" s="243"/>
      <c r="V1359" s="243"/>
      <c r="W1359" s="243"/>
      <c r="X1359" s="243"/>
      <c r="Y1359" s="243"/>
      <c r="Z1359" s="243"/>
      <c r="AA1359" s="243"/>
      <c r="AB1359" s="243"/>
      <c r="AC1359" s="243"/>
      <c r="AD1359" s="243"/>
      <c r="AE1359" s="243"/>
    </row>
    <row r="1360">
      <c r="P1360" s="242"/>
      <c r="Q1360" s="207"/>
      <c r="U1360" s="243"/>
      <c r="V1360" s="243"/>
      <c r="W1360" s="243"/>
      <c r="X1360" s="243"/>
      <c r="Y1360" s="243"/>
      <c r="Z1360" s="243"/>
      <c r="AA1360" s="243"/>
      <c r="AB1360" s="243"/>
      <c r="AC1360" s="243"/>
      <c r="AD1360" s="243"/>
      <c r="AE1360" s="243"/>
    </row>
    <row r="1361">
      <c r="P1361" s="242"/>
      <c r="Q1361" s="207"/>
      <c r="U1361" s="243"/>
      <c r="V1361" s="243"/>
      <c r="W1361" s="243"/>
      <c r="X1361" s="243"/>
      <c r="Y1361" s="243"/>
      <c r="Z1361" s="243"/>
      <c r="AA1361" s="243"/>
      <c r="AB1361" s="243"/>
      <c r="AC1361" s="243"/>
      <c r="AD1361" s="243"/>
      <c r="AE1361" s="243"/>
    </row>
    <row r="1362">
      <c r="P1362" s="242"/>
      <c r="Q1362" s="207"/>
      <c r="U1362" s="243"/>
      <c r="V1362" s="243"/>
      <c r="W1362" s="243"/>
      <c r="X1362" s="243"/>
      <c r="Y1362" s="243"/>
      <c r="Z1362" s="243"/>
      <c r="AA1362" s="243"/>
      <c r="AB1362" s="243"/>
      <c r="AC1362" s="243"/>
      <c r="AD1362" s="243"/>
      <c r="AE1362" s="243"/>
    </row>
    <row r="1363">
      <c r="P1363" s="242"/>
      <c r="Q1363" s="207"/>
      <c r="U1363" s="243"/>
      <c r="V1363" s="243"/>
      <c r="W1363" s="243"/>
      <c r="X1363" s="243"/>
      <c r="Y1363" s="243"/>
      <c r="Z1363" s="243"/>
      <c r="AA1363" s="243"/>
      <c r="AB1363" s="243"/>
      <c r="AC1363" s="243"/>
      <c r="AD1363" s="243"/>
      <c r="AE1363" s="243"/>
    </row>
    <row r="1364">
      <c r="P1364" s="242"/>
      <c r="Q1364" s="207"/>
      <c r="U1364" s="243"/>
      <c r="V1364" s="243"/>
      <c r="W1364" s="243"/>
      <c r="X1364" s="243"/>
      <c r="Y1364" s="243"/>
      <c r="Z1364" s="243"/>
      <c r="AA1364" s="243"/>
      <c r="AB1364" s="243"/>
      <c r="AC1364" s="243"/>
      <c r="AD1364" s="243"/>
      <c r="AE1364" s="243"/>
    </row>
    <row r="1365">
      <c r="P1365" s="242"/>
      <c r="Q1365" s="207"/>
      <c r="U1365" s="243"/>
      <c r="V1365" s="243"/>
      <c r="W1365" s="243"/>
      <c r="X1365" s="243"/>
      <c r="Y1365" s="243"/>
      <c r="Z1365" s="243"/>
      <c r="AA1365" s="243"/>
      <c r="AB1365" s="243"/>
      <c r="AC1365" s="243"/>
      <c r="AD1365" s="243"/>
      <c r="AE1365" s="243"/>
    </row>
    <row r="1366">
      <c r="P1366" s="242"/>
      <c r="Q1366" s="207"/>
      <c r="U1366" s="243"/>
      <c r="V1366" s="243"/>
      <c r="W1366" s="243"/>
      <c r="X1366" s="243"/>
      <c r="Y1366" s="243"/>
      <c r="Z1366" s="243"/>
      <c r="AA1366" s="243"/>
      <c r="AB1366" s="243"/>
      <c r="AC1366" s="243"/>
      <c r="AD1366" s="243"/>
      <c r="AE1366" s="243"/>
    </row>
    <row r="1367">
      <c r="P1367" s="242"/>
      <c r="Q1367" s="207"/>
      <c r="U1367" s="243"/>
      <c r="V1367" s="243"/>
      <c r="W1367" s="243"/>
      <c r="X1367" s="243"/>
      <c r="Y1367" s="243"/>
      <c r="Z1367" s="243"/>
      <c r="AA1367" s="243"/>
      <c r="AB1367" s="243"/>
      <c r="AC1367" s="243"/>
      <c r="AD1367" s="243"/>
      <c r="AE1367" s="243"/>
    </row>
    <row r="1368">
      <c r="P1368" s="242"/>
      <c r="Q1368" s="207"/>
      <c r="U1368" s="243"/>
      <c r="V1368" s="243"/>
      <c r="W1368" s="243"/>
      <c r="X1368" s="243"/>
      <c r="Y1368" s="243"/>
      <c r="Z1368" s="243"/>
      <c r="AA1368" s="243"/>
      <c r="AB1368" s="243"/>
      <c r="AC1368" s="243"/>
      <c r="AD1368" s="243"/>
      <c r="AE1368" s="243"/>
    </row>
    <row r="1369">
      <c r="P1369" s="242"/>
      <c r="Q1369" s="207"/>
      <c r="U1369" s="243"/>
      <c r="V1369" s="243"/>
      <c r="W1369" s="243"/>
      <c r="X1369" s="243"/>
      <c r="Y1369" s="243"/>
      <c r="Z1369" s="243"/>
      <c r="AA1369" s="243"/>
      <c r="AB1369" s="243"/>
      <c r="AC1369" s="243"/>
      <c r="AD1369" s="243"/>
      <c r="AE1369" s="243"/>
    </row>
    <row r="1370">
      <c r="P1370" s="242"/>
      <c r="Q1370" s="207"/>
      <c r="U1370" s="243"/>
      <c r="V1370" s="243"/>
      <c r="W1370" s="243"/>
      <c r="X1370" s="243"/>
      <c r="Y1370" s="243"/>
      <c r="Z1370" s="243"/>
      <c r="AA1370" s="243"/>
      <c r="AB1370" s="243"/>
      <c r="AC1370" s="243"/>
      <c r="AD1370" s="243"/>
      <c r="AE1370" s="243"/>
    </row>
    <row r="1371">
      <c r="P1371" s="242"/>
      <c r="Q1371" s="207"/>
      <c r="U1371" s="243"/>
      <c r="V1371" s="243"/>
      <c r="W1371" s="243"/>
      <c r="X1371" s="243"/>
      <c r="Y1371" s="243"/>
      <c r="Z1371" s="243"/>
      <c r="AA1371" s="243"/>
      <c r="AB1371" s="243"/>
      <c r="AC1371" s="243"/>
      <c r="AD1371" s="243"/>
      <c r="AE1371" s="243"/>
    </row>
    <row r="1372">
      <c r="P1372" s="242"/>
      <c r="Q1372" s="207"/>
      <c r="U1372" s="243"/>
      <c r="V1372" s="243"/>
      <c r="W1372" s="243"/>
      <c r="X1372" s="243"/>
      <c r="Y1372" s="243"/>
      <c r="Z1372" s="243"/>
      <c r="AA1372" s="243"/>
      <c r="AB1372" s="243"/>
      <c r="AC1372" s="243"/>
      <c r="AD1372" s="243"/>
      <c r="AE1372" s="243"/>
    </row>
    <row r="1373">
      <c r="P1373" s="242"/>
      <c r="Q1373" s="207"/>
      <c r="U1373" s="243"/>
      <c r="V1373" s="243"/>
      <c r="W1373" s="243"/>
      <c r="X1373" s="243"/>
      <c r="Y1373" s="243"/>
      <c r="Z1373" s="243"/>
      <c r="AA1373" s="243"/>
      <c r="AB1373" s="243"/>
      <c r="AC1373" s="243"/>
      <c r="AD1373" s="243"/>
      <c r="AE1373" s="243"/>
    </row>
    <row r="1374">
      <c r="P1374" s="242"/>
      <c r="Q1374" s="207"/>
      <c r="U1374" s="243"/>
      <c r="V1374" s="243"/>
      <c r="W1374" s="243"/>
      <c r="X1374" s="243"/>
      <c r="Y1374" s="243"/>
      <c r="Z1374" s="243"/>
      <c r="AA1374" s="243"/>
      <c r="AB1374" s="243"/>
      <c r="AC1374" s="243"/>
      <c r="AD1374" s="243"/>
      <c r="AE1374" s="243"/>
    </row>
    <row r="1375">
      <c r="P1375" s="242"/>
      <c r="Q1375" s="207"/>
      <c r="U1375" s="243"/>
      <c r="V1375" s="243"/>
      <c r="W1375" s="243"/>
      <c r="X1375" s="243"/>
      <c r="Y1375" s="243"/>
      <c r="Z1375" s="243"/>
      <c r="AA1375" s="243"/>
      <c r="AB1375" s="243"/>
      <c r="AC1375" s="243"/>
      <c r="AD1375" s="243"/>
      <c r="AE1375" s="243"/>
    </row>
    <row r="1376">
      <c r="P1376" s="242"/>
      <c r="Q1376" s="207"/>
      <c r="U1376" s="243"/>
      <c r="V1376" s="243"/>
      <c r="W1376" s="243"/>
      <c r="X1376" s="243"/>
      <c r="Y1376" s="243"/>
      <c r="Z1376" s="243"/>
      <c r="AA1376" s="243"/>
      <c r="AB1376" s="243"/>
      <c r="AC1376" s="243"/>
      <c r="AD1376" s="243"/>
      <c r="AE1376" s="243"/>
    </row>
    <row r="1377">
      <c r="P1377" s="242"/>
      <c r="Q1377" s="207"/>
      <c r="U1377" s="243"/>
      <c r="V1377" s="243"/>
      <c r="W1377" s="243"/>
      <c r="X1377" s="243"/>
      <c r="Y1377" s="243"/>
      <c r="Z1377" s="243"/>
      <c r="AA1377" s="243"/>
      <c r="AB1377" s="243"/>
      <c r="AC1377" s="243"/>
      <c r="AD1377" s="243"/>
      <c r="AE1377" s="243"/>
    </row>
    <row r="1378">
      <c r="P1378" s="242"/>
      <c r="Q1378" s="207"/>
      <c r="U1378" s="243"/>
      <c r="V1378" s="243"/>
      <c r="W1378" s="243"/>
      <c r="X1378" s="243"/>
      <c r="Y1378" s="243"/>
      <c r="Z1378" s="243"/>
      <c r="AA1378" s="243"/>
      <c r="AB1378" s="243"/>
      <c r="AC1378" s="243"/>
      <c r="AD1378" s="243"/>
      <c r="AE1378" s="243"/>
    </row>
    <row r="1379">
      <c r="P1379" s="242"/>
      <c r="Q1379" s="207"/>
      <c r="U1379" s="243"/>
      <c r="V1379" s="243"/>
      <c r="W1379" s="243"/>
      <c r="X1379" s="243"/>
      <c r="Y1379" s="243"/>
      <c r="Z1379" s="243"/>
      <c r="AA1379" s="243"/>
      <c r="AB1379" s="243"/>
      <c r="AC1379" s="243"/>
      <c r="AD1379" s="243"/>
      <c r="AE1379" s="243"/>
    </row>
    <row r="1380">
      <c r="P1380" s="242"/>
      <c r="Q1380" s="207"/>
      <c r="U1380" s="243"/>
      <c r="V1380" s="243"/>
      <c r="W1380" s="243"/>
      <c r="X1380" s="243"/>
      <c r="Y1380" s="243"/>
      <c r="Z1380" s="243"/>
      <c r="AA1380" s="243"/>
      <c r="AB1380" s="243"/>
      <c r="AC1380" s="243"/>
      <c r="AD1380" s="243"/>
      <c r="AE1380" s="243"/>
    </row>
    <row r="1381">
      <c r="P1381" s="242"/>
      <c r="Q1381" s="207"/>
      <c r="U1381" s="243"/>
      <c r="V1381" s="243"/>
      <c r="W1381" s="243"/>
      <c r="X1381" s="243"/>
      <c r="Y1381" s="243"/>
      <c r="Z1381" s="243"/>
      <c r="AA1381" s="243"/>
      <c r="AB1381" s="243"/>
      <c r="AC1381" s="243"/>
      <c r="AD1381" s="243"/>
      <c r="AE1381" s="243"/>
    </row>
    <row r="1382">
      <c r="P1382" s="242"/>
      <c r="Q1382" s="207"/>
      <c r="U1382" s="243"/>
      <c r="V1382" s="243"/>
      <c r="W1382" s="243"/>
      <c r="X1382" s="243"/>
      <c r="Y1382" s="243"/>
      <c r="Z1382" s="243"/>
      <c r="AA1382" s="243"/>
      <c r="AB1382" s="243"/>
      <c r="AC1382" s="243"/>
      <c r="AD1382" s="243"/>
      <c r="AE1382" s="243"/>
    </row>
    <row r="1383">
      <c r="P1383" s="242"/>
      <c r="Q1383" s="207"/>
      <c r="U1383" s="243"/>
      <c r="V1383" s="243"/>
      <c r="W1383" s="243"/>
      <c r="X1383" s="243"/>
      <c r="Y1383" s="243"/>
      <c r="Z1383" s="243"/>
      <c r="AA1383" s="243"/>
      <c r="AB1383" s="243"/>
      <c r="AC1383" s="243"/>
      <c r="AD1383" s="243"/>
      <c r="AE1383" s="243"/>
    </row>
    <row r="1384">
      <c r="P1384" s="242"/>
      <c r="Q1384" s="207"/>
      <c r="U1384" s="243"/>
      <c r="V1384" s="243"/>
      <c r="W1384" s="243"/>
      <c r="X1384" s="243"/>
      <c r="Y1384" s="243"/>
      <c r="Z1384" s="243"/>
      <c r="AA1384" s="243"/>
      <c r="AB1384" s="243"/>
      <c r="AC1384" s="243"/>
      <c r="AD1384" s="243"/>
      <c r="AE1384" s="243"/>
    </row>
    <row r="1385">
      <c r="P1385" s="242"/>
      <c r="Q1385" s="207"/>
      <c r="U1385" s="243"/>
      <c r="V1385" s="243"/>
      <c r="W1385" s="243"/>
      <c r="X1385" s="243"/>
      <c r="Y1385" s="243"/>
      <c r="Z1385" s="243"/>
      <c r="AA1385" s="243"/>
      <c r="AB1385" s="243"/>
      <c r="AC1385" s="243"/>
      <c r="AD1385" s="243"/>
      <c r="AE1385" s="243"/>
    </row>
    <row r="1386">
      <c r="P1386" s="242"/>
      <c r="Q1386" s="207"/>
      <c r="U1386" s="243"/>
      <c r="V1386" s="243"/>
      <c r="W1386" s="243"/>
      <c r="X1386" s="243"/>
      <c r="Y1386" s="243"/>
      <c r="Z1386" s="243"/>
      <c r="AA1386" s="243"/>
      <c r="AB1386" s="243"/>
      <c r="AC1386" s="243"/>
      <c r="AD1386" s="243"/>
      <c r="AE1386" s="243"/>
    </row>
    <row r="1387">
      <c r="P1387" s="242"/>
      <c r="Q1387" s="207"/>
      <c r="U1387" s="243"/>
      <c r="V1387" s="243"/>
      <c r="W1387" s="243"/>
      <c r="X1387" s="243"/>
      <c r="Y1387" s="243"/>
      <c r="Z1387" s="243"/>
      <c r="AA1387" s="243"/>
      <c r="AB1387" s="243"/>
      <c r="AC1387" s="243"/>
      <c r="AD1387" s="243"/>
      <c r="AE1387" s="243"/>
    </row>
    <row r="1388">
      <c r="P1388" s="242"/>
      <c r="Q1388" s="207"/>
      <c r="U1388" s="243"/>
      <c r="V1388" s="243"/>
      <c r="W1388" s="243"/>
      <c r="X1388" s="243"/>
      <c r="Y1388" s="243"/>
      <c r="Z1388" s="243"/>
      <c r="AA1388" s="243"/>
      <c r="AB1388" s="243"/>
      <c r="AC1388" s="243"/>
      <c r="AD1388" s="243"/>
      <c r="AE1388" s="243"/>
    </row>
    <row r="1389">
      <c r="P1389" s="242"/>
      <c r="Q1389" s="207"/>
      <c r="U1389" s="243"/>
      <c r="V1389" s="243"/>
      <c r="W1389" s="243"/>
      <c r="X1389" s="243"/>
      <c r="Y1389" s="243"/>
      <c r="Z1389" s="243"/>
      <c r="AA1389" s="243"/>
      <c r="AB1389" s="243"/>
      <c r="AC1389" s="243"/>
      <c r="AD1389" s="243"/>
      <c r="AE1389" s="243"/>
    </row>
    <row r="1390">
      <c r="P1390" s="242"/>
      <c r="Q1390" s="207"/>
      <c r="U1390" s="243"/>
      <c r="V1390" s="243"/>
      <c r="W1390" s="243"/>
      <c r="X1390" s="243"/>
      <c r="Y1390" s="243"/>
      <c r="Z1390" s="243"/>
      <c r="AA1390" s="243"/>
      <c r="AB1390" s="243"/>
      <c r="AC1390" s="243"/>
      <c r="AD1390" s="243"/>
      <c r="AE1390" s="243"/>
    </row>
    <row r="1391">
      <c r="P1391" s="242"/>
      <c r="Q1391" s="207"/>
      <c r="U1391" s="243"/>
      <c r="V1391" s="243"/>
      <c r="W1391" s="243"/>
      <c r="X1391" s="243"/>
      <c r="Y1391" s="243"/>
      <c r="Z1391" s="243"/>
      <c r="AA1391" s="243"/>
      <c r="AB1391" s="243"/>
      <c r="AC1391" s="243"/>
      <c r="AD1391" s="243"/>
      <c r="AE1391" s="243"/>
    </row>
    <row r="1392">
      <c r="P1392" s="242"/>
      <c r="Q1392" s="207"/>
      <c r="U1392" s="243"/>
      <c r="V1392" s="243"/>
      <c r="W1392" s="243"/>
      <c r="X1392" s="243"/>
      <c r="Y1392" s="243"/>
      <c r="Z1392" s="243"/>
      <c r="AA1392" s="243"/>
      <c r="AB1392" s="243"/>
      <c r="AC1392" s="243"/>
      <c r="AD1392" s="243"/>
      <c r="AE1392" s="243"/>
    </row>
    <row r="1393">
      <c r="P1393" s="242"/>
      <c r="Q1393" s="207"/>
      <c r="U1393" s="243"/>
      <c r="V1393" s="243"/>
      <c r="W1393" s="243"/>
      <c r="X1393" s="243"/>
      <c r="Y1393" s="243"/>
      <c r="Z1393" s="243"/>
      <c r="AA1393" s="243"/>
      <c r="AB1393" s="243"/>
      <c r="AC1393" s="243"/>
      <c r="AD1393" s="243"/>
      <c r="AE1393" s="243"/>
    </row>
    <row r="1394">
      <c r="P1394" s="242"/>
      <c r="Q1394" s="207"/>
      <c r="U1394" s="243"/>
      <c r="V1394" s="243"/>
      <c r="W1394" s="243"/>
      <c r="X1394" s="243"/>
      <c r="Y1394" s="243"/>
      <c r="Z1394" s="243"/>
      <c r="AA1394" s="243"/>
      <c r="AB1394" s="243"/>
      <c r="AC1394" s="243"/>
      <c r="AD1394" s="243"/>
      <c r="AE1394" s="243"/>
    </row>
    <row r="1395">
      <c r="P1395" s="242"/>
      <c r="Q1395" s="207"/>
      <c r="U1395" s="243"/>
      <c r="V1395" s="243"/>
      <c r="W1395" s="243"/>
      <c r="X1395" s="243"/>
      <c r="Y1395" s="243"/>
      <c r="Z1395" s="243"/>
      <c r="AA1395" s="243"/>
      <c r="AB1395" s="243"/>
      <c r="AC1395" s="243"/>
      <c r="AD1395" s="243"/>
      <c r="AE1395" s="243"/>
    </row>
    <row r="1396">
      <c r="P1396" s="242"/>
      <c r="Q1396" s="207"/>
      <c r="U1396" s="243"/>
      <c r="V1396" s="243"/>
      <c r="W1396" s="243"/>
      <c r="X1396" s="243"/>
      <c r="Y1396" s="243"/>
      <c r="Z1396" s="243"/>
      <c r="AA1396" s="243"/>
      <c r="AB1396" s="243"/>
      <c r="AC1396" s="243"/>
      <c r="AD1396" s="243"/>
      <c r="AE1396" s="243"/>
    </row>
    <row r="1397">
      <c r="P1397" s="242"/>
      <c r="Q1397" s="207"/>
      <c r="U1397" s="243"/>
      <c r="V1397" s="243"/>
      <c r="W1397" s="243"/>
      <c r="X1397" s="243"/>
      <c r="Y1397" s="243"/>
      <c r="Z1397" s="243"/>
      <c r="AA1397" s="243"/>
      <c r="AB1397" s="243"/>
      <c r="AC1397" s="243"/>
      <c r="AD1397" s="243"/>
      <c r="AE1397" s="243"/>
    </row>
    <row r="1398">
      <c r="P1398" s="242"/>
      <c r="Q1398" s="207"/>
      <c r="U1398" s="243"/>
      <c r="V1398" s="243"/>
      <c r="W1398" s="243"/>
      <c r="X1398" s="243"/>
      <c r="Y1398" s="243"/>
      <c r="Z1398" s="243"/>
      <c r="AA1398" s="243"/>
      <c r="AB1398" s="243"/>
      <c r="AC1398" s="243"/>
      <c r="AD1398" s="243"/>
      <c r="AE1398" s="243"/>
    </row>
    <row r="1399">
      <c r="P1399" s="242"/>
      <c r="Q1399" s="207"/>
      <c r="U1399" s="243"/>
      <c r="V1399" s="243"/>
      <c r="W1399" s="243"/>
      <c r="X1399" s="243"/>
      <c r="Y1399" s="243"/>
      <c r="Z1399" s="243"/>
      <c r="AA1399" s="243"/>
      <c r="AB1399" s="243"/>
      <c r="AC1399" s="243"/>
      <c r="AD1399" s="243"/>
      <c r="AE1399" s="243"/>
    </row>
    <row r="1400">
      <c r="P1400" s="242"/>
      <c r="Q1400" s="207"/>
      <c r="U1400" s="243"/>
      <c r="V1400" s="243"/>
      <c r="W1400" s="243"/>
      <c r="X1400" s="243"/>
      <c r="Y1400" s="243"/>
      <c r="Z1400" s="243"/>
      <c r="AA1400" s="243"/>
      <c r="AB1400" s="243"/>
      <c r="AC1400" s="243"/>
      <c r="AD1400" s="243"/>
      <c r="AE1400" s="243"/>
    </row>
    <row r="1401">
      <c r="P1401" s="242"/>
      <c r="Q1401" s="207"/>
      <c r="U1401" s="243"/>
      <c r="V1401" s="243"/>
      <c r="W1401" s="243"/>
      <c r="X1401" s="243"/>
      <c r="Y1401" s="243"/>
      <c r="Z1401" s="243"/>
      <c r="AA1401" s="243"/>
      <c r="AB1401" s="243"/>
      <c r="AC1401" s="243"/>
      <c r="AD1401" s="243"/>
      <c r="AE1401" s="243"/>
    </row>
    <row r="1402">
      <c r="P1402" s="242"/>
      <c r="Q1402" s="207"/>
      <c r="U1402" s="243"/>
      <c r="V1402" s="243"/>
      <c r="W1402" s="243"/>
      <c r="X1402" s="243"/>
      <c r="Y1402" s="243"/>
      <c r="Z1402" s="243"/>
      <c r="AA1402" s="243"/>
      <c r="AB1402" s="243"/>
      <c r="AC1402" s="243"/>
      <c r="AD1402" s="243"/>
      <c r="AE1402" s="243"/>
    </row>
    <row r="1403">
      <c r="P1403" s="242"/>
      <c r="Q1403" s="207"/>
      <c r="U1403" s="243"/>
      <c r="V1403" s="243"/>
      <c r="W1403" s="243"/>
      <c r="X1403" s="243"/>
      <c r="Y1403" s="243"/>
      <c r="Z1403" s="243"/>
      <c r="AA1403" s="243"/>
      <c r="AB1403" s="243"/>
      <c r="AC1403" s="243"/>
      <c r="AD1403" s="243"/>
      <c r="AE1403" s="243"/>
    </row>
    <row r="1404">
      <c r="P1404" s="242"/>
      <c r="Q1404" s="207"/>
      <c r="U1404" s="243"/>
      <c r="V1404" s="243"/>
      <c r="W1404" s="243"/>
      <c r="X1404" s="243"/>
      <c r="Y1404" s="243"/>
      <c r="Z1404" s="243"/>
      <c r="AA1404" s="243"/>
      <c r="AB1404" s="243"/>
      <c r="AC1404" s="243"/>
      <c r="AD1404" s="243"/>
      <c r="AE1404" s="243"/>
    </row>
    <row r="1405">
      <c r="P1405" s="242"/>
      <c r="Q1405" s="207"/>
      <c r="U1405" s="243"/>
      <c r="V1405" s="243"/>
      <c r="W1405" s="243"/>
      <c r="X1405" s="243"/>
      <c r="Y1405" s="243"/>
      <c r="Z1405" s="243"/>
      <c r="AA1405" s="243"/>
      <c r="AB1405" s="243"/>
      <c r="AC1405" s="243"/>
      <c r="AD1405" s="243"/>
      <c r="AE1405" s="243"/>
    </row>
    <row r="1406">
      <c r="P1406" s="242"/>
      <c r="Q1406" s="207"/>
      <c r="U1406" s="243"/>
      <c r="V1406" s="243"/>
      <c r="W1406" s="243"/>
      <c r="X1406" s="243"/>
      <c r="Y1406" s="243"/>
      <c r="Z1406" s="243"/>
      <c r="AA1406" s="243"/>
      <c r="AB1406" s="243"/>
      <c r="AC1406" s="243"/>
      <c r="AD1406" s="243"/>
      <c r="AE1406" s="243"/>
    </row>
    <row r="1407">
      <c r="P1407" s="242"/>
      <c r="Q1407" s="207"/>
      <c r="U1407" s="243"/>
      <c r="V1407" s="243"/>
      <c r="W1407" s="243"/>
      <c r="X1407" s="243"/>
      <c r="Y1407" s="243"/>
      <c r="Z1407" s="243"/>
      <c r="AA1407" s="243"/>
      <c r="AB1407" s="243"/>
      <c r="AC1407" s="243"/>
      <c r="AD1407" s="243"/>
      <c r="AE1407" s="243"/>
    </row>
    <row r="1408">
      <c r="P1408" s="242"/>
      <c r="Q1408" s="207"/>
      <c r="U1408" s="243"/>
      <c r="V1408" s="243"/>
      <c r="W1408" s="243"/>
      <c r="X1408" s="243"/>
      <c r="Y1408" s="243"/>
      <c r="Z1408" s="243"/>
      <c r="AA1408" s="243"/>
      <c r="AB1408" s="243"/>
      <c r="AC1408" s="243"/>
      <c r="AD1408" s="243"/>
      <c r="AE1408" s="243"/>
    </row>
    <row r="1409">
      <c r="P1409" s="242"/>
      <c r="Q1409" s="207"/>
      <c r="U1409" s="243"/>
      <c r="V1409" s="243"/>
      <c r="W1409" s="243"/>
      <c r="X1409" s="243"/>
      <c r="Y1409" s="243"/>
      <c r="Z1409" s="243"/>
      <c r="AA1409" s="243"/>
      <c r="AB1409" s="243"/>
      <c r="AC1409" s="243"/>
      <c r="AD1409" s="243"/>
      <c r="AE1409" s="243"/>
    </row>
    <row r="1410">
      <c r="P1410" s="242"/>
      <c r="Q1410" s="207"/>
      <c r="U1410" s="243"/>
      <c r="V1410" s="243"/>
      <c r="W1410" s="243"/>
      <c r="X1410" s="243"/>
      <c r="Y1410" s="243"/>
      <c r="Z1410" s="243"/>
      <c r="AA1410" s="243"/>
      <c r="AB1410" s="243"/>
      <c r="AC1410" s="243"/>
      <c r="AD1410" s="243"/>
      <c r="AE1410" s="243"/>
    </row>
    <row r="1411">
      <c r="P1411" s="242"/>
      <c r="Q1411" s="207"/>
      <c r="U1411" s="243"/>
      <c r="V1411" s="243"/>
      <c r="W1411" s="243"/>
      <c r="X1411" s="243"/>
      <c r="Y1411" s="243"/>
      <c r="Z1411" s="243"/>
      <c r="AA1411" s="243"/>
      <c r="AB1411" s="243"/>
      <c r="AC1411" s="243"/>
      <c r="AD1411" s="243"/>
      <c r="AE1411" s="243"/>
    </row>
    <row r="1412">
      <c r="P1412" s="242"/>
      <c r="Q1412" s="207"/>
      <c r="U1412" s="243"/>
      <c r="V1412" s="243"/>
      <c r="W1412" s="243"/>
      <c r="X1412" s="243"/>
      <c r="Y1412" s="243"/>
      <c r="Z1412" s="243"/>
      <c r="AA1412" s="243"/>
      <c r="AB1412" s="243"/>
      <c r="AC1412" s="243"/>
      <c r="AD1412" s="243"/>
      <c r="AE1412" s="243"/>
    </row>
    <row r="1413">
      <c r="P1413" s="242"/>
      <c r="Q1413" s="207"/>
      <c r="U1413" s="243"/>
      <c r="V1413" s="243"/>
      <c r="W1413" s="243"/>
      <c r="X1413" s="243"/>
      <c r="Y1413" s="243"/>
      <c r="Z1413" s="243"/>
      <c r="AA1413" s="243"/>
      <c r="AB1413" s="243"/>
      <c r="AC1413" s="243"/>
      <c r="AD1413" s="243"/>
      <c r="AE1413" s="243"/>
    </row>
    <row r="1414">
      <c r="P1414" s="242"/>
      <c r="Q1414" s="207"/>
      <c r="U1414" s="243"/>
      <c r="V1414" s="243"/>
      <c r="W1414" s="243"/>
      <c r="X1414" s="243"/>
      <c r="Y1414" s="243"/>
      <c r="Z1414" s="243"/>
      <c r="AA1414" s="243"/>
      <c r="AB1414" s="243"/>
      <c r="AC1414" s="243"/>
      <c r="AD1414" s="243"/>
      <c r="AE1414" s="243"/>
    </row>
    <row r="1415">
      <c r="P1415" s="242"/>
      <c r="Q1415" s="207"/>
      <c r="U1415" s="243"/>
      <c r="V1415" s="243"/>
      <c r="W1415" s="243"/>
      <c r="X1415" s="243"/>
      <c r="Y1415" s="243"/>
      <c r="Z1415" s="243"/>
      <c r="AA1415" s="243"/>
      <c r="AB1415" s="243"/>
      <c r="AC1415" s="243"/>
      <c r="AD1415" s="243"/>
      <c r="AE1415" s="243"/>
    </row>
    <row r="1416">
      <c r="P1416" s="242"/>
      <c r="Q1416" s="207"/>
      <c r="U1416" s="243"/>
      <c r="V1416" s="243"/>
      <c r="W1416" s="243"/>
      <c r="X1416" s="243"/>
      <c r="Y1416" s="243"/>
      <c r="Z1416" s="243"/>
      <c r="AA1416" s="243"/>
      <c r="AB1416" s="243"/>
      <c r="AC1416" s="243"/>
      <c r="AD1416" s="243"/>
      <c r="AE1416" s="243"/>
    </row>
    <row r="1417">
      <c r="P1417" s="242"/>
      <c r="Q1417" s="207"/>
      <c r="U1417" s="243"/>
      <c r="V1417" s="243"/>
      <c r="W1417" s="243"/>
      <c r="X1417" s="243"/>
      <c r="Y1417" s="243"/>
      <c r="Z1417" s="243"/>
      <c r="AA1417" s="243"/>
      <c r="AB1417" s="243"/>
      <c r="AC1417" s="243"/>
      <c r="AD1417" s="243"/>
      <c r="AE1417" s="243"/>
    </row>
    <row r="1418">
      <c r="P1418" s="242"/>
      <c r="Q1418" s="207"/>
      <c r="U1418" s="243"/>
      <c r="V1418" s="243"/>
      <c r="W1418" s="243"/>
      <c r="X1418" s="243"/>
      <c r="Y1418" s="243"/>
      <c r="Z1418" s="243"/>
      <c r="AA1418" s="243"/>
      <c r="AB1418" s="243"/>
      <c r="AC1418" s="243"/>
      <c r="AD1418" s="243"/>
      <c r="AE1418" s="243"/>
    </row>
    <row r="1419">
      <c r="P1419" s="242"/>
      <c r="Q1419" s="207"/>
      <c r="U1419" s="243"/>
      <c r="V1419" s="243"/>
      <c r="W1419" s="243"/>
      <c r="X1419" s="243"/>
      <c r="Y1419" s="243"/>
      <c r="Z1419" s="243"/>
      <c r="AA1419" s="243"/>
      <c r="AB1419" s="243"/>
      <c r="AC1419" s="243"/>
      <c r="AD1419" s="243"/>
      <c r="AE1419" s="243"/>
    </row>
    <row r="1420">
      <c r="P1420" s="242"/>
      <c r="Q1420" s="207"/>
      <c r="U1420" s="243"/>
      <c r="V1420" s="243"/>
      <c r="W1420" s="243"/>
      <c r="X1420" s="243"/>
      <c r="Y1420" s="243"/>
      <c r="Z1420" s="243"/>
      <c r="AA1420" s="243"/>
      <c r="AB1420" s="243"/>
      <c r="AC1420" s="243"/>
      <c r="AD1420" s="243"/>
      <c r="AE1420" s="243"/>
    </row>
    <row r="1421">
      <c r="P1421" s="242"/>
      <c r="Q1421" s="207"/>
      <c r="U1421" s="243"/>
      <c r="V1421" s="243"/>
      <c r="W1421" s="243"/>
      <c r="X1421" s="243"/>
      <c r="Y1421" s="243"/>
      <c r="Z1421" s="243"/>
      <c r="AA1421" s="243"/>
      <c r="AB1421" s="243"/>
      <c r="AC1421" s="243"/>
      <c r="AD1421" s="243"/>
      <c r="AE1421" s="243"/>
    </row>
    <row r="1422">
      <c r="P1422" s="242"/>
      <c r="Q1422" s="207"/>
      <c r="U1422" s="243"/>
      <c r="V1422" s="243"/>
      <c r="W1422" s="243"/>
      <c r="X1422" s="243"/>
      <c r="Y1422" s="243"/>
      <c r="Z1422" s="243"/>
      <c r="AA1422" s="243"/>
      <c r="AB1422" s="243"/>
      <c r="AC1422" s="243"/>
      <c r="AD1422" s="243"/>
      <c r="AE1422" s="243"/>
    </row>
    <row r="1423">
      <c r="P1423" s="242"/>
      <c r="Q1423" s="207"/>
      <c r="U1423" s="243"/>
      <c r="V1423" s="243"/>
      <c r="W1423" s="243"/>
      <c r="X1423" s="243"/>
      <c r="Y1423" s="243"/>
      <c r="Z1423" s="243"/>
      <c r="AA1423" s="243"/>
      <c r="AB1423" s="243"/>
      <c r="AC1423" s="243"/>
      <c r="AD1423" s="243"/>
      <c r="AE1423" s="243"/>
    </row>
    <row r="1424">
      <c r="P1424" s="242"/>
      <c r="Q1424" s="207"/>
      <c r="U1424" s="243"/>
      <c r="V1424" s="243"/>
      <c r="W1424" s="243"/>
      <c r="X1424" s="243"/>
      <c r="Y1424" s="243"/>
      <c r="Z1424" s="243"/>
      <c r="AA1424" s="243"/>
      <c r="AB1424" s="243"/>
      <c r="AC1424" s="243"/>
      <c r="AD1424" s="243"/>
      <c r="AE1424" s="243"/>
    </row>
    <row r="1425">
      <c r="P1425" s="242"/>
      <c r="Q1425" s="207"/>
      <c r="U1425" s="243"/>
      <c r="V1425" s="243"/>
      <c r="W1425" s="243"/>
      <c r="X1425" s="243"/>
      <c r="Y1425" s="243"/>
      <c r="Z1425" s="243"/>
      <c r="AA1425" s="243"/>
      <c r="AB1425" s="243"/>
      <c r="AC1425" s="243"/>
      <c r="AD1425" s="243"/>
      <c r="AE1425" s="243"/>
    </row>
    <row r="1426">
      <c r="P1426" s="242"/>
      <c r="Q1426" s="207"/>
      <c r="U1426" s="243"/>
      <c r="V1426" s="243"/>
      <c r="W1426" s="243"/>
      <c r="X1426" s="243"/>
      <c r="Y1426" s="243"/>
      <c r="Z1426" s="243"/>
      <c r="AA1426" s="243"/>
      <c r="AB1426" s="243"/>
      <c r="AC1426" s="243"/>
      <c r="AD1426" s="243"/>
      <c r="AE1426" s="243"/>
    </row>
    <row r="1427">
      <c r="P1427" s="242"/>
      <c r="Q1427" s="207"/>
      <c r="U1427" s="243"/>
      <c r="V1427" s="243"/>
      <c r="W1427" s="243"/>
      <c r="X1427" s="243"/>
      <c r="Y1427" s="243"/>
      <c r="Z1427" s="243"/>
      <c r="AA1427" s="243"/>
      <c r="AB1427" s="243"/>
      <c r="AC1427" s="243"/>
      <c r="AD1427" s="243"/>
      <c r="AE1427" s="243"/>
    </row>
    <row r="1428">
      <c r="P1428" s="242"/>
      <c r="Q1428" s="207"/>
      <c r="U1428" s="243"/>
      <c r="V1428" s="243"/>
      <c r="W1428" s="243"/>
      <c r="X1428" s="243"/>
      <c r="Y1428" s="243"/>
      <c r="Z1428" s="243"/>
      <c r="AA1428" s="243"/>
      <c r="AB1428" s="243"/>
      <c r="AC1428" s="243"/>
      <c r="AD1428" s="243"/>
      <c r="AE1428" s="243"/>
    </row>
    <row r="1429">
      <c r="P1429" s="242"/>
      <c r="Q1429" s="207"/>
      <c r="U1429" s="243"/>
      <c r="V1429" s="243"/>
      <c r="W1429" s="243"/>
      <c r="X1429" s="243"/>
      <c r="Y1429" s="243"/>
      <c r="Z1429" s="243"/>
      <c r="AA1429" s="243"/>
      <c r="AB1429" s="243"/>
      <c r="AC1429" s="243"/>
      <c r="AD1429" s="243"/>
      <c r="AE1429" s="243"/>
    </row>
    <row r="1430">
      <c r="P1430" s="242"/>
      <c r="Q1430" s="207"/>
      <c r="U1430" s="243"/>
      <c r="V1430" s="243"/>
      <c r="W1430" s="243"/>
      <c r="X1430" s="243"/>
      <c r="Y1430" s="243"/>
      <c r="Z1430" s="243"/>
      <c r="AA1430" s="243"/>
      <c r="AB1430" s="243"/>
      <c r="AC1430" s="243"/>
      <c r="AD1430" s="243"/>
      <c r="AE1430" s="243"/>
    </row>
    <row r="1431">
      <c r="P1431" s="242"/>
      <c r="Q1431" s="207"/>
      <c r="U1431" s="243"/>
      <c r="V1431" s="243"/>
      <c r="W1431" s="243"/>
      <c r="X1431" s="243"/>
      <c r="Y1431" s="243"/>
      <c r="Z1431" s="243"/>
      <c r="AA1431" s="243"/>
      <c r="AB1431" s="243"/>
      <c r="AC1431" s="243"/>
      <c r="AD1431" s="243"/>
      <c r="AE1431" s="243"/>
    </row>
    <row r="1432">
      <c r="P1432" s="242"/>
      <c r="Q1432" s="207"/>
      <c r="U1432" s="243"/>
      <c r="V1432" s="243"/>
      <c r="W1432" s="243"/>
      <c r="X1432" s="243"/>
      <c r="Y1432" s="243"/>
      <c r="Z1432" s="243"/>
      <c r="AA1432" s="243"/>
      <c r="AB1432" s="243"/>
      <c r="AC1432" s="243"/>
      <c r="AD1432" s="243"/>
      <c r="AE1432" s="243"/>
    </row>
    <row r="1433">
      <c r="P1433" s="242"/>
      <c r="Q1433" s="207"/>
      <c r="U1433" s="243"/>
      <c r="V1433" s="243"/>
      <c r="W1433" s="243"/>
      <c r="X1433" s="243"/>
      <c r="Y1433" s="243"/>
      <c r="Z1433" s="243"/>
      <c r="AA1433" s="243"/>
      <c r="AB1433" s="243"/>
      <c r="AC1433" s="243"/>
      <c r="AD1433" s="243"/>
      <c r="AE1433" s="243"/>
    </row>
    <row r="1434">
      <c r="P1434" s="242"/>
      <c r="Q1434" s="207"/>
      <c r="U1434" s="243"/>
      <c r="V1434" s="243"/>
      <c r="W1434" s="243"/>
      <c r="X1434" s="243"/>
      <c r="Y1434" s="243"/>
      <c r="Z1434" s="243"/>
      <c r="AA1434" s="243"/>
      <c r="AB1434" s="243"/>
      <c r="AC1434" s="243"/>
      <c r="AD1434" s="243"/>
      <c r="AE1434" s="243"/>
    </row>
    <row r="1435">
      <c r="P1435" s="242"/>
      <c r="Q1435" s="207"/>
      <c r="U1435" s="243"/>
      <c r="V1435" s="243"/>
      <c r="W1435" s="243"/>
      <c r="X1435" s="243"/>
      <c r="Y1435" s="243"/>
      <c r="Z1435" s="243"/>
      <c r="AA1435" s="243"/>
      <c r="AB1435" s="243"/>
      <c r="AC1435" s="243"/>
      <c r="AD1435" s="243"/>
      <c r="AE1435" s="243"/>
    </row>
    <row r="1436">
      <c r="P1436" s="242"/>
      <c r="Q1436" s="207"/>
      <c r="U1436" s="243"/>
      <c r="V1436" s="243"/>
      <c r="W1436" s="243"/>
      <c r="X1436" s="243"/>
      <c r="Y1436" s="243"/>
      <c r="Z1436" s="243"/>
      <c r="AA1436" s="243"/>
      <c r="AB1436" s="243"/>
      <c r="AC1436" s="243"/>
      <c r="AD1436" s="243"/>
      <c r="AE1436" s="243"/>
    </row>
    <row r="1437">
      <c r="P1437" s="242"/>
      <c r="Q1437" s="207"/>
      <c r="U1437" s="243"/>
      <c r="V1437" s="243"/>
      <c r="W1437" s="243"/>
      <c r="X1437" s="243"/>
      <c r="Y1437" s="243"/>
      <c r="Z1437" s="243"/>
      <c r="AA1437" s="243"/>
      <c r="AB1437" s="243"/>
      <c r="AC1437" s="243"/>
      <c r="AD1437" s="243"/>
      <c r="AE1437" s="243"/>
    </row>
    <row r="1438">
      <c r="P1438" s="242"/>
      <c r="Q1438" s="207"/>
      <c r="U1438" s="243"/>
      <c r="V1438" s="243"/>
      <c r="W1438" s="243"/>
      <c r="X1438" s="243"/>
      <c r="Y1438" s="243"/>
      <c r="Z1438" s="243"/>
      <c r="AA1438" s="243"/>
      <c r="AB1438" s="243"/>
      <c r="AC1438" s="243"/>
      <c r="AD1438" s="243"/>
      <c r="AE1438" s="243"/>
    </row>
    <row r="1439">
      <c r="P1439" s="242"/>
      <c r="Q1439" s="207"/>
      <c r="U1439" s="243"/>
      <c r="V1439" s="243"/>
      <c r="W1439" s="243"/>
      <c r="X1439" s="243"/>
      <c r="Y1439" s="243"/>
      <c r="Z1439" s="243"/>
      <c r="AA1439" s="243"/>
      <c r="AB1439" s="243"/>
      <c r="AC1439" s="243"/>
      <c r="AD1439" s="243"/>
      <c r="AE1439" s="243"/>
    </row>
    <row r="1440">
      <c r="P1440" s="242"/>
      <c r="Q1440" s="207"/>
      <c r="U1440" s="243"/>
      <c r="V1440" s="243"/>
      <c r="W1440" s="243"/>
      <c r="X1440" s="243"/>
      <c r="Y1440" s="243"/>
      <c r="Z1440" s="243"/>
      <c r="AA1440" s="243"/>
      <c r="AB1440" s="243"/>
      <c r="AC1440" s="243"/>
      <c r="AD1440" s="243"/>
      <c r="AE1440" s="243"/>
    </row>
    <row r="1441">
      <c r="P1441" s="242"/>
      <c r="Q1441" s="207"/>
      <c r="U1441" s="243"/>
      <c r="V1441" s="243"/>
      <c r="W1441" s="243"/>
      <c r="X1441" s="243"/>
      <c r="Y1441" s="243"/>
      <c r="Z1441" s="243"/>
      <c r="AA1441" s="243"/>
      <c r="AB1441" s="243"/>
      <c r="AC1441" s="243"/>
      <c r="AD1441" s="243"/>
      <c r="AE1441" s="243"/>
    </row>
    <row r="1442">
      <c r="P1442" s="242"/>
      <c r="Q1442" s="207"/>
      <c r="U1442" s="243"/>
      <c r="V1442" s="243"/>
      <c r="W1442" s="243"/>
      <c r="X1442" s="243"/>
      <c r="Y1442" s="243"/>
      <c r="Z1442" s="243"/>
      <c r="AA1442" s="243"/>
      <c r="AB1442" s="243"/>
      <c r="AC1442" s="243"/>
      <c r="AD1442" s="243"/>
      <c r="AE1442" s="243"/>
    </row>
    <row r="1443">
      <c r="P1443" s="242"/>
      <c r="Q1443" s="207"/>
      <c r="U1443" s="243"/>
      <c r="V1443" s="243"/>
      <c r="W1443" s="243"/>
      <c r="X1443" s="243"/>
      <c r="Y1443" s="243"/>
      <c r="Z1443" s="243"/>
      <c r="AA1443" s="243"/>
      <c r="AB1443" s="243"/>
      <c r="AC1443" s="243"/>
      <c r="AD1443" s="243"/>
      <c r="AE1443" s="243"/>
    </row>
    <row r="1444">
      <c r="P1444" s="242"/>
      <c r="Q1444" s="207"/>
      <c r="U1444" s="243"/>
      <c r="V1444" s="243"/>
      <c r="W1444" s="243"/>
      <c r="X1444" s="243"/>
      <c r="Y1444" s="243"/>
      <c r="Z1444" s="243"/>
      <c r="AA1444" s="243"/>
      <c r="AB1444" s="243"/>
      <c r="AC1444" s="243"/>
      <c r="AD1444" s="243"/>
      <c r="AE1444" s="243"/>
    </row>
    <row r="1445">
      <c r="P1445" s="242"/>
      <c r="Q1445" s="207"/>
      <c r="U1445" s="243"/>
      <c r="V1445" s="243"/>
      <c r="W1445" s="243"/>
      <c r="X1445" s="243"/>
      <c r="Y1445" s="243"/>
      <c r="Z1445" s="243"/>
      <c r="AA1445" s="243"/>
      <c r="AB1445" s="243"/>
      <c r="AC1445" s="243"/>
      <c r="AD1445" s="243"/>
      <c r="AE1445" s="243"/>
    </row>
    <row r="1446">
      <c r="P1446" s="242"/>
      <c r="Q1446" s="207"/>
      <c r="U1446" s="243"/>
      <c r="V1446" s="243"/>
      <c r="W1446" s="243"/>
      <c r="X1446" s="243"/>
      <c r="Y1446" s="243"/>
      <c r="Z1446" s="243"/>
      <c r="AA1446" s="243"/>
      <c r="AB1446" s="243"/>
      <c r="AC1446" s="243"/>
      <c r="AD1446" s="243"/>
      <c r="AE1446" s="243"/>
    </row>
    <row r="1447">
      <c r="P1447" s="242"/>
      <c r="Q1447" s="207"/>
      <c r="U1447" s="243"/>
      <c r="V1447" s="243"/>
      <c r="W1447" s="243"/>
      <c r="X1447" s="243"/>
      <c r="Y1447" s="243"/>
      <c r="Z1447" s="243"/>
      <c r="AA1447" s="243"/>
      <c r="AB1447" s="243"/>
      <c r="AC1447" s="243"/>
      <c r="AD1447" s="243"/>
      <c r="AE1447" s="243"/>
    </row>
    <row r="1448">
      <c r="P1448" s="242"/>
      <c r="Q1448" s="207"/>
      <c r="U1448" s="243"/>
      <c r="V1448" s="243"/>
      <c r="W1448" s="243"/>
      <c r="X1448" s="243"/>
      <c r="Y1448" s="243"/>
      <c r="Z1448" s="243"/>
      <c r="AA1448" s="243"/>
      <c r="AB1448" s="243"/>
      <c r="AC1448" s="243"/>
      <c r="AD1448" s="243"/>
      <c r="AE1448" s="243"/>
    </row>
    <row r="1449">
      <c r="P1449" s="242"/>
      <c r="Q1449" s="207"/>
      <c r="U1449" s="243"/>
      <c r="V1449" s="243"/>
      <c r="W1449" s="243"/>
      <c r="X1449" s="243"/>
      <c r="Y1449" s="243"/>
      <c r="Z1449" s="243"/>
      <c r="AA1449" s="243"/>
      <c r="AB1449" s="243"/>
      <c r="AC1449" s="243"/>
      <c r="AD1449" s="243"/>
      <c r="AE1449" s="243"/>
    </row>
    <row r="1450">
      <c r="P1450" s="242"/>
      <c r="Q1450" s="207"/>
      <c r="U1450" s="243"/>
      <c r="V1450" s="243"/>
      <c r="W1450" s="243"/>
      <c r="X1450" s="243"/>
      <c r="Y1450" s="243"/>
      <c r="Z1450" s="243"/>
      <c r="AA1450" s="243"/>
      <c r="AB1450" s="243"/>
      <c r="AC1450" s="243"/>
      <c r="AD1450" s="243"/>
      <c r="AE1450" s="243"/>
    </row>
    <row r="1451">
      <c r="P1451" s="242"/>
      <c r="Q1451" s="207"/>
      <c r="U1451" s="243"/>
      <c r="V1451" s="243"/>
      <c r="W1451" s="243"/>
      <c r="X1451" s="243"/>
      <c r="Y1451" s="243"/>
      <c r="Z1451" s="243"/>
      <c r="AA1451" s="243"/>
      <c r="AB1451" s="243"/>
      <c r="AC1451" s="243"/>
      <c r="AD1451" s="243"/>
      <c r="AE1451" s="243"/>
    </row>
    <row r="1452">
      <c r="P1452" s="242"/>
      <c r="Q1452" s="207"/>
      <c r="U1452" s="243"/>
      <c r="V1452" s="243"/>
      <c r="W1452" s="243"/>
      <c r="X1452" s="243"/>
      <c r="Y1452" s="243"/>
      <c r="Z1452" s="243"/>
      <c r="AA1452" s="243"/>
      <c r="AB1452" s="243"/>
      <c r="AC1452" s="243"/>
      <c r="AD1452" s="243"/>
      <c r="AE1452" s="243"/>
    </row>
    <row r="1453">
      <c r="P1453" s="242"/>
      <c r="Q1453" s="207"/>
      <c r="U1453" s="243"/>
      <c r="V1453" s="243"/>
      <c r="W1453" s="243"/>
      <c r="X1453" s="243"/>
      <c r="Y1453" s="243"/>
      <c r="Z1453" s="243"/>
      <c r="AA1453" s="243"/>
      <c r="AB1453" s="243"/>
      <c r="AC1453" s="243"/>
      <c r="AD1453" s="243"/>
      <c r="AE1453" s="243"/>
    </row>
    <row r="1454">
      <c r="P1454" s="242"/>
      <c r="Q1454" s="207"/>
      <c r="U1454" s="243"/>
      <c r="V1454" s="243"/>
      <c r="W1454" s="243"/>
      <c r="X1454" s="243"/>
      <c r="Y1454" s="243"/>
      <c r="Z1454" s="243"/>
      <c r="AA1454" s="243"/>
      <c r="AB1454" s="243"/>
      <c r="AC1454" s="243"/>
      <c r="AD1454" s="243"/>
      <c r="AE1454" s="243"/>
    </row>
    <row r="1455">
      <c r="P1455" s="242"/>
      <c r="Q1455" s="207"/>
      <c r="U1455" s="243"/>
      <c r="V1455" s="243"/>
      <c r="W1455" s="243"/>
      <c r="X1455" s="243"/>
      <c r="Y1455" s="243"/>
      <c r="Z1455" s="243"/>
      <c r="AA1455" s="243"/>
      <c r="AB1455" s="243"/>
      <c r="AC1455" s="243"/>
      <c r="AD1455" s="243"/>
      <c r="AE1455" s="243"/>
    </row>
    <row r="1456">
      <c r="P1456" s="242"/>
      <c r="Q1456" s="207"/>
      <c r="U1456" s="243"/>
      <c r="V1456" s="243"/>
      <c r="W1456" s="243"/>
      <c r="X1456" s="243"/>
      <c r="Y1456" s="243"/>
      <c r="Z1456" s="243"/>
      <c r="AA1456" s="243"/>
      <c r="AB1456" s="243"/>
      <c r="AC1456" s="243"/>
      <c r="AD1456" s="243"/>
      <c r="AE1456" s="243"/>
    </row>
    <row r="1457">
      <c r="P1457" s="242"/>
      <c r="Q1457" s="207"/>
      <c r="U1457" s="243"/>
      <c r="V1457" s="243"/>
      <c r="W1457" s="243"/>
      <c r="X1457" s="243"/>
      <c r="Y1457" s="243"/>
      <c r="Z1457" s="243"/>
      <c r="AA1457" s="243"/>
      <c r="AB1457" s="243"/>
      <c r="AC1457" s="243"/>
      <c r="AD1457" s="243"/>
      <c r="AE1457" s="243"/>
    </row>
    <row r="1458">
      <c r="P1458" s="242"/>
      <c r="Q1458" s="207"/>
      <c r="U1458" s="243"/>
      <c r="V1458" s="243"/>
      <c r="W1458" s="243"/>
      <c r="X1458" s="243"/>
      <c r="Y1458" s="243"/>
      <c r="Z1458" s="243"/>
      <c r="AA1458" s="243"/>
      <c r="AB1458" s="243"/>
      <c r="AC1458" s="243"/>
      <c r="AD1458" s="243"/>
      <c r="AE1458" s="243"/>
    </row>
    <row r="1459">
      <c r="P1459" s="242"/>
      <c r="Q1459" s="207"/>
      <c r="U1459" s="243"/>
      <c r="V1459" s="243"/>
      <c r="W1459" s="243"/>
      <c r="X1459" s="243"/>
      <c r="Y1459" s="243"/>
      <c r="Z1459" s="243"/>
      <c r="AA1459" s="243"/>
      <c r="AB1459" s="243"/>
      <c r="AC1459" s="243"/>
      <c r="AD1459" s="243"/>
      <c r="AE1459" s="243"/>
    </row>
    <row r="1460">
      <c r="P1460" s="242"/>
      <c r="Q1460" s="207"/>
      <c r="U1460" s="243"/>
      <c r="V1460" s="243"/>
      <c r="W1460" s="243"/>
      <c r="X1460" s="243"/>
      <c r="Y1460" s="243"/>
      <c r="Z1460" s="243"/>
      <c r="AA1460" s="243"/>
      <c r="AB1460" s="243"/>
      <c r="AC1460" s="243"/>
      <c r="AD1460" s="243"/>
      <c r="AE1460" s="243"/>
    </row>
    <row r="1461">
      <c r="P1461" s="242"/>
      <c r="Q1461" s="207"/>
      <c r="U1461" s="243"/>
      <c r="V1461" s="243"/>
      <c r="W1461" s="243"/>
      <c r="X1461" s="243"/>
      <c r="Y1461" s="243"/>
      <c r="Z1461" s="243"/>
      <c r="AA1461" s="243"/>
      <c r="AB1461" s="243"/>
      <c r="AC1461" s="243"/>
      <c r="AD1461" s="243"/>
      <c r="AE1461" s="243"/>
    </row>
    <row r="1462">
      <c r="P1462" s="242"/>
      <c r="Q1462" s="207"/>
      <c r="U1462" s="243"/>
      <c r="V1462" s="243"/>
      <c r="W1462" s="243"/>
      <c r="X1462" s="243"/>
      <c r="Y1462" s="243"/>
      <c r="Z1462" s="243"/>
      <c r="AA1462" s="243"/>
      <c r="AB1462" s="243"/>
      <c r="AC1462" s="243"/>
      <c r="AD1462" s="243"/>
      <c r="AE1462" s="243"/>
    </row>
    <row r="1463">
      <c r="P1463" s="242"/>
      <c r="Q1463" s="207"/>
      <c r="U1463" s="243"/>
      <c r="V1463" s="243"/>
      <c r="W1463" s="243"/>
      <c r="X1463" s="243"/>
      <c r="Y1463" s="243"/>
      <c r="Z1463" s="243"/>
      <c r="AA1463" s="243"/>
      <c r="AB1463" s="243"/>
      <c r="AC1463" s="243"/>
      <c r="AD1463" s="243"/>
      <c r="AE1463" s="243"/>
    </row>
    <row r="1464">
      <c r="P1464" s="242"/>
      <c r="Q1464" s="207"/>
      <c r="U1464" s="243"/>
      <c r="V1464" s="243"/>
      <c r="W1464" s="243"/>
      <c r="X1464" s="243"/>
      <c r="Y1464" s="243"/>
      <c r="Z1464" s="243"/>
      <c r="AA1464" s="243"/>
      <c r="AB1464" s="243"/>
      <c r="AC1464" s="243"/>
      <c r="AD1464" s="243"/>
      <c r="AE1464" s="243"/>
    </row>
    <row r="1465">
      <c r="P1465" s="242"/>
      <c r="Q1465" s="207"/>
      <c r="U1465" s="243"/>
      <c r="V1465" s="243"/>
      <c r="W1465" s="243"/>
      <c r="X1465" s="243"/>
      <c r="Y1465" s="243"/>
      <c r="Z1465" s="243"/>
      <c r="AA1465" s="243"/>
      <c r="AB1465" s="243"/>
      <c r="AC1465" s="243"/>
      <c r="AD1465" s="243"/>
      <c r="AE1465" s="243"/>
    </row>
    <row r="1466">
      <c r="P1466" s="242"/>
      <c r="Q1466" s="207"/>
      <c r="U1466" s="243"/>
      <c r="V1466" s="243"/>
      <c r="W1466" s="243"/>
      <c r="X1466" s="243"/>
      <c r="Y1466" s="243"/>
      <c r="Z1466" s="243"/>
      <c r="AA1466" s="243"/>
      <c r="AB1466" s="243"/>
      <c r="AC1466" s="243"/>
      <c r="AD1466" s="243"/>
      <c r="AE1466" s="243"/>
    </row>
    <row r="1467">
      <c r="P1467" s="242"/>
      <c r="Q1467" s="207"/>
      <c r="U1467" s="243"/>
      <c r="V1467" s="243"/>
      <c r="W1467" s="243"/>
      <c r="X1467" s="243"/>
      <c r="Y1467" s="243"/>
      <c r="Z1467" s="243"/>
      <c r="AA1467" s="243"/>
      <c r="AB1467" s="243"/>
      <c r="AC1467" s="243"/>
      <c r="AD1467" s="243"/>
      <c r="AE1467" s="243"/>
    </row>
    <row r="1468">
      <c r="P1468" s="242"/>
      <c r="Q1468" s="207"/>
      <c r="U1468" s="243"/>
      <c r="V1468" s="243"/>
      <c r="W1468" s="243"/>
      <c r="X1468" s="243"/>
      <c r="Y1468" s="243"/>
      <c r="Z1468" s="243"/>
      <c r="AA1468" s="243"/>
      <c r="AB1468" s="243"/>
      <c r="AC1468" s="243"/>
      <c r="AD1468" s="243"/>
      <c r="AE1468" s="243"/>
    </row>
    <row r="1469">
      <c r="P1469" s="242"/>
      <c r="Q1469" s="207"/>
      <c r="U1469" s="243"/>
      <c r="V1469" s="243"/>
      <c r="W1469" s="243"/>
      <c r="X1469" s="243"/>
      <c r="Y1469" s="243"/>
      <c r="Z1469" s="243"/>
      <c r="AA1469" s="243"/>
      <c r="AB1469" s="243"/>
      <c r="AC1469" s="243"/>
      <c r="AD1469" s="243"/>
      <c r="AE1469" s="243"/>
    </row>
    <row r="1470">
      <c r="P1470" s="242"/>
      <c r="Q1470" s="207"/>
      <c r="U1470" s="243"/>
      <c r="V1470" s="243"/>
      <c r="W1470" s="243"/>
      <c r="X1470" s="243"/>
      <c r="Y1470" s="243"/>
      <c r="Z1470" s="243"/>
      <c r="AA1470" s="243"/>
      <c r="AB1470" s="243"/>
      <c r="AC1470" s="243"/>
      <c r="AD1470" s="243"/>
      <c r="AE1470" s="243"/>
    </row>
    <row r="1471">
      <c r="P1471" s="242"/>
      <c r="Q1471" s="207"/>
      <c r="U1471" s="243"/>
      <c r="V1471" s="243"/>
      <c r="W1471" s="243"/>
      <c r="X1471" s="243"/>
      <c r="Y1471" s="243"/>
      <c r="Z1471" s="243"/>
      <c r="AA1471" s="243"/>
      <c r="AB1471" s="243"/>
      <c r="AC1471" s="243"/>
      <c r="AD1471" s="243"/>
      <c r="AE1471" s="243"/>
    </row>
    <row r="1472">
      <c r="P1472" s="242"/>
      <c r="Q1472" s="207"/>
      <c r="U1472" s="243"/>
      <c r="V1472" s="243"/>
      <c r="W1472" s="243"/>
      <c r="X1472" s="243"/>
      <c r="Y1472" s="243"/>
      <c r="Z1472" s="243"/>
      <c r="AA1472" s="243"/>
      <c r="AB1472" s="243"/>
      <c r="AC1472" s="243"/>
      <c r="AD1472" s="243"/>
      <c r="AE1472" s="243"/>
    </row>
    <row r="1473">
      <c r="P1473" s="242"/>
      <c r="Q1473" s="207"/>
      <c r="U1473" s="243"/>
      <c r="V1473" s="243"/>
      <c r="W1473" s="243"/>
      <c r="X1473" s="243"/>
      <c r="Y1473" s="243"/>
      <c r="Z1473" s="243"/>
      <c r="AA1473" s="243"/>
      <c r="AB1473" s="243"/>
      <c r="AC1473" s="243"/>
      <c r="AD1473" s="243"/>
      <c r="AE1473" s="243"/>
    </row>
    <row r="1474">
      <c r="P1474" s="242"/>
      <c r="Q1474" s="207"/>
      <c r="U1474" s="243"/>
      <c r="V1474" s="243"/>
      <c r="W1474" s="243"/>
      <c r="X1474" s="243"/>
      <c r="Y1474" s="243"/>
      <c r="Z1474" s="243"/>
      <c r="AA1474" s="243"/>
      <c r="AB1474" s="243"/>
      <c r="AC1474" s="243"/>
      <c r="AD1474" s="243"/>
      <c r="AE1474" s="243"/>
    </row>
    <row r="1475">
      <c r="P1475" s="242"/>
      <c r="Q1475" s="207"/>
      <c r="U1475" s="243"/>
      <c r="V1475" s="243"/>
      <c r="W1475" s="243"/>
      <c r="X1475" s="243"/>
      <c r="Y1475" s="243"/>
      <c r="Z1475" s="243"/>
      <c r="AA1475" s="243"/>
      <c r="AB1475" s="243"/>
      <c r="AC1475" s="243"/>
      <c r="AD1475" s="243"/>
      <c r="AE1475" s="243"/>
    </row>
    <row r="1476">
      <c r="P1476" s="242"/>
      <c r="Q1476" s="207"/>
      <c r="U1476" s="243"/>
      <c r="V1476" s="243"/>
      <c r="W1476" s="243"/>
      <c r="X1476" s="243"/>
      <c r="Y1476" s="243"/>
      <c r="Z1476" s="243"/>
      <c r="AA1476" s="243"/>
      <c r="AB1476" s="243"/>
      <c r="AC1476" s="243"/>
      <c r="AD1476" s="243"/>
      <c r="AE1476" s="243"/>
    </row>
    <row r="1477">
      <c r="P1477" s="242"/>
      <c r="Q1477" s="207"/>
      <c r="U1477" s="243"/>
      <c r="V1477" s="243"/>
      <c r="W1477" s="243"/>
      <c r="X1477" s="243"/>
      <c r="Y1477" s="243"/>
      <c r="Z1477" s="243"/>
      <c r="AA1477" s="243"/>
      <c r="AB1477" s="243"/>
      <c r="AC1477" s="243"/>
      <c r="AD1477" s="243"/>
      <c r="AE1477" s="243"/>
    </row>
    <row r="1478">
      <c r="P1478" s="242"/>
      <c r="Q1478" s="207"/>
      <c r="U1478" s="243"/>
      <c r="V1478" s="243"/>
      <c r="W1478" s="243"/>
      <c r="X1478" s="243"/>
      <c r="Y1478" s="243"/>
      <c r="Z1478" s="243"/>
      <c r="AA1478" s="243"/>
      <c r="AB1478" s="243"/>
      <c r="AC1478" s="243"/>
      <c r="AD1478" s="243"/>
      <c r="AE1478" s="243"/>
    </row>
    <row r="1479">
      <c r="P1479" s="242"/>
      <c r="Q1479" s="207"/>
      <c r="U1479" s="243"/>
      <c r="V1479" s="243"/>
      <c r="W1479" s="243"/>
      <c r="X1479" s="243"/>
      <c r="Y1479" s="243"/>
      <c r="Z1479" s="243"/>
      <c r="AA1479" s="243"/>
      <c r="AB1479" s="243"/>
      <c r="AC1479" s="243"/>
      <c r="AD1479" s="243"/>
      <c r="AE1479" s="243"/>
    </row>
    <row r="1480">
      <c r="P1480" s="242"/>
      <c r="Q1480" s="207"/>
      <c r="U1480" s="243"/>
      <c r="V1480" s="243"/>
      <c r="W1480" s="243"/>
      <c r="X1480" s="243"/>
      <c r="Y1480" s="243"/>
      <c r="Z1480" s="243"/>
      <c r="AA1480" s="243"/>
      <c r="AB1480" s="243"/>
      <c r="AC1480" s="243"/>
      <c r="AD1480" s="243"/>
      <c r="AE1480" s="243"/>
    </row>
    <row r="1481">
      <c r="P1481" s="242"/>
      <c r="Q1481" s="207"/>
      <c r="U1481" s="243"/>
      <c r="V1481" s="243"/>
      <c r="W1481" s="243"/>
      <c r="X1481" s="243"/>
      <c r="Y1481" s="243"/>
      <c r="Z1481" s="243"/>
      <c r="AA1481" s="243"/>
      <c r="AB1481" s="243"/>
      <c r="AC1481" s="243"/>
      <c r="AD1481" s="243"/>
      <c r="AE1481" s="243"/>
    </row>
    <row r="1482">
      <c r="P1482" s="242"/>
      <c r="Q1482" s="207"/>
      <c r="U1482" s="243"/>
      <c r="V1482" s="243"/>
      <c r="W1482" s="243"/>
      <c r="X1482" s="243"/>
      <c r="Y1482" s="243"/>
      <c r="Z1482" s="243"/>
      <c r="AA1482" s="243"/>
      <c r="AB1482" s="243"/>
      <c r="AC1482" s="243"/>
      <c r="AD1482" s="243"/>
      <c r="AE1482" s="243"/>
    </row>
    <row r="1483">
      <c r="P1483" s="242"/>
      <c r="Q1483" s="207"/>
      <c r="U1483" s="243"/>
      <c r="V1483" s="243"/>
      <c r="W1483" s="243"/>
      <c r="X1483" s="243"/>
      <c r="Y1483" s="243"/>
      <c r="Z1483" s="243"/>
      <c r="AA1483" s="243"/>
      <c r="AB1483" s="243"/>
      <c r="AC1483" s="243"/>
      <c r="AD1483" s="243"/>
      <c r="AE1483" s="243"/>
    </row>
    <row r="1484">
      <c r="P1484" s="242"/>
      <c r="Q1484" s="207"/>
      <c r="U1484" s="243"/>
      <c r="V1484" s="243"/>
      <c r="W1484" s="243"/>
      <c r="X1484" s="243"/>
      <c r="Y1484" s="243"/>
      <c r="Z1484" s="243"/>
      <c r="AA1484" s="243"/>
      <c r="AB1484" s="243"/>
      <c r="AC1484" s="243"/>
      <c r="AD1484" s="243"/>
      <c r="AE1484" s="243"/>
    </row>
    <row r="1485">
      <c r="P1485" s="242"/>
      <c r="Q1485" s="207"/>
      <c r="U1485" s="243"/>
      <c r="V1485" s="243"/>
      <c r="W1485" s="243"/>
      <c r="X1485" s="243"/>
      <c r="Y1485" s="243"/>
      <c r="Z1485" s="243"/>
      <c r="AA1485" s="243"/>
      <c r="AB1485" s="243"/>
      <c r="AC1485" s="243"/>
      <c r="AD1485" s="243"/>
      <c r="AE1485" s="243"/>
    </row>
    <row r="1486">
      <c r="P1486" s="242"/>
      <c r="Q1486" s="207"/>
      <c r="U1486" s="243"/>
      <c r="V1486" s="243"/>
      <c r="W1486" s="243"/>
      <c r="X1486" s="243"/>
      <c r="Y1486" s="243"/>
      <c r="Z1486" s="243"/>
      <c r="AA1486" s="243"/>
      <c r="AB1486" s="243"/>
      <c r="AC1486" s="243"/>
      <c r="AD1486" s="243"/>
      <c r="AE1486" s="243"/>
    </row>
    <row r="1487">
      <c r="P1487" s="242"/>
      <c r="Q1487" s="207"/>
      <c r="U1487" s="243"/>
      <c r="V1487" s="243"/>
      <c r="W1487" s="243"/>
      <c r="X1487" s="243"/>
      <c r="Y1487" s="243"/>
      <c r="Z1487" s="243"/>
      <c r="AA1487" s="243"/>
      <c r="AB1487" s="243"/>
      <c r="AC1487" s="243"/>
      <c r="AD1487" s="243"/>
      <c r="AE1487" s="243"/>
    </row>
    <row r="1488">
      <c r="P1488" s="242"/>
      <c r="Q1488" s="207"/>
      <c r="U1488" s="243"/>
      <c r="V1488" s="243"/>
      <c r="W1488" s="243"/>
      <c r="X1488" s="243"/>
      <c r="Y1488" s="243"/>
      <c r="Z1488" s="243"/>
      <c r="AA1488" s="243"/>
      <c r="AB1488" s="243"/>
      <c r="AC1488" s="243"/>
      <c r="AD1488" s="243"/>
      <c r="AE1488" s="243"/>
    </row>
    <row r="1489">
      <c r="P1489" s="242"/>
      <c r="Q1489" s="207"/>
      <c r="U1489" s="243"/>
      <c r="V1489" s="243"/>
      <c r="W1489" s="243"/>
      <c r="X1489" s="243"/>
      <c r="Y1489" s="243"/>
      <c r="Z1489" s="243"/>
      <c r="AA1489" s="243"/>
      <c r="AB1489" s="243"/>
      <c r="AC1489" s="243"/>
      <c r="AD1489" s="243"/>
      <c r="AE1489" s="243"/>
    </row>
    <row r="1490">
      <c r="P1490" s="242"/>
      <c r="Q1490" s="207"/>
      <c r="U1490" s="243"/>
      <c r="V1490" s="243"/>
      <c r="W1490" s="243"/>
      <c r="X1490" s="243"/>
      <c r="Y1490" s="243"/>
      <c r="Z1490" s="243"/>
      <c r="AA1490" s="243"/>
      <c r="AB1490" s="243"/>
      <c r="AC1490" s="243"/>
      <c r="AD1490" s="243"/>
      <c r="AE1490" s="243"/>
    </row>
    <row r="1491">
      <c r="P1491" s="242"/>
      <c r="Q1491" s="207"/>
      <c r="U1491" s="243"/>
      <c r="V1491" s="243"/>
      <c r="W1491" s="243"/>
      <c r="X1491" s="243"/>
      <c r="Y1491" s="243"/>
      <c r="Z1491" s="243"/>
      <c r="AA1491" s="243"/>
      <c r="AB1491" s="243"/>
      <c r="AC1491" s="243"/>
      <c r="AD1491" s="243"/>
      <c r="AE1491" s="243"/>
    </row>
    <row r="1492">
      <c r="P1492" s="242"/>
      <c r="Q1492" s="207"/>
      <c r="U1492" s="243"/>
      <c r="V1492" s="243"/>
      <c r="W1492" s="243"/>
      <c r="X1492" s="243"/>
      <c r="Y1492" s="243"/>
      <c r="Z1492" s="243"/>
      <c r="AA1492" s="243"/>
      <c r="AB1492" s="243"/>
      <c r="AC1492" s="243"/>
      <c r="AD1492" s="243"/>
      <c r="AE1492" s="243"/>
    </row>
    <row r="1493">
      <c r="P1493" s="242"/>
      <c r="Q1493" s="207"/>
      <c r="U1493" s="243"/>
      <c r="V1493" s="243"/>
      <c r="W1493" s="243"/>
      <c r="X1493" s="243"/>
      <c r="Y1493" s="243"/>
      <c r="Z1493" s="243"/>
      <c r="AA1493" s="243"/>
      <c r="AB1493" s="243"/>
      <c r="AC1493" s="243"/>
      <c r="AD1493" s="243"/>
      <c r="AE1493" s="243"/>
    </row>
    <row r="1494">
      <c r="P1494" s="242"/>
      <c r="Q1494" s="207"/>
      <c r="U1494" s="243"/>
      <c r="V1494" s="243"/>
      <c r="W1494" s="243"/>
      <c r="X1494" s="243"/>
      <c r="Y1494" s="243"/>
      <c r="Z1494" s="243"/>
      <c r="AA1494" s="243"/>
      <c r="AB1494" s="243"/>
      <c r="AC1494" s="243"/>
      <c r="AD1494" s="243"/>
      <c r="AE1494" s="243"/>
    </row>
    <row r="1495">
      <c r="P1495" s="242"/>
      <c r="Q1495" s="207"/>
      <c r="U1495" s="243"/>
      <c r="V1495" s="243"/>
      <c r="W1495" s="243"/>
      <c r="X1495" s="243"/>
      <c r="Y1495" s="243"/>
      <c r="Z1495" s="243"/>
      <c r="AA1495" s="243"/>
      <c r="AB1495" s="243"/>
      <c r="AC1495" s="243"/>
      <c r="AD1495" s="243"/>
      <c r="AE1495" s="243"/>
    </row>
    <row r="1496">
      <c r="P1496" s="242"/>
      <c r="Q1496" s="207"/>
      <c r="U1496" s="243"/>
      <c r="V1496" s="243"/>
      <c r="W1496" s="243"/>
      <c r="X1496" s="243"/>
      <c r="Y1496" s="243"/>
      <c r="Z1496" s="243"/>
      <c r="AA1496" s="243"/>
      <c r="AB1496" s="243"/>
      <c r="AC1496" s="243"/>
      <c r="AD1496" s="243"/>
      <c r="AE1496" s="243"/>
    </row>
    <row r="1497">
      <c r="P1497" s="242"/>
      <c r="Q1497" s="207"/>
      <c r="U1497" s="243"/>
      <c r="V1497" s="243"/>
      <c r="W1497" s="243"/>
      <c r="X1497" s="243"/>
      <c r="Y1497" s="243"/>
      <c r="Z1497" s="243"/>
      <c r="AA1497" s="243"/>
      <c r="AB1497" s="243"/>
      <c r="AC1497" s="243"/>
      <c r="AD1497" s="243"/>
      <c r="AE1497" s="243"/>
    </row>
    <row r="1498">
      <c r="P1498" s="242"/>
      <c r="Q1498" s="207"/>
      <c r="U1498" s="243"/>
      <c r="V1498" s="243"/>
      <c r="W1498" s="243"/>
      <c r="X1498" s="243"/>
      <c r="Y1498" s="243"/>
      <c r="Z1498" s="243"/>
      <c r="AA1498" s="243"/>
      <c r="AB1498" s="243"/>
      <c r="AC1498" s="243"/>
      <c r="AD1498" s="243"/>
      <c r="AE1498" s="243"/>
    </row>
    <row r="1499">
      <c r="P1499" s="242"/>
      <c r="Q1499" s="207"/>
      <c r="U1499" s="243"/>
      <c r="V1499" s="243"/>
      <c r="W1499" s="243"/>
      <c r="X1499" s="243"/>
      <c r="Y1499" s="243"/>
      <c r="Z1499" s="243"/>
      <c r="AA1499" s="243"/>
      <c r="AB1499" s="243"/>
      <c r="AC1499" s="243"/>
      <c r="AD1499" s="243"/>
      <c r="AE1499" s="243"/>
    </row>
    <row r="1500">
      <c r="P1500" s="242"/>
      <c r="Q1500" s="207"/>
      <c r="U1500" s="243"/>
      <c r="V1500" s="243"/>
      <c r="W1500" s="243"/>
      <c r="X1500" s="243"/>
      <c r="Y1500" s="243"/>
      <c r="Z1500" s="243"/>
      <c r="AA1500" s="243"/>
      <c r="AB1500" s="243"/>
      <c r="AC1500" s="243"/>
      <c r="AD1500" s="243"/>
      <c r="AE1500" s="243"/>
    </row>
    <row r="1501">
      <c r="P1501" s="242"/>
      <c r="Q1501" s="207"/>
      <c r="U1501" s="243"/>
      <c r="V1501" s="243"/>
      <c r="W1501" s="243"/>
      <c r="X1501" s="243"/>
      <c r="Y1501" s="243"/>
      <c r="Z1501" s="243"/>
      <c r="AA1501" s="243"/>
      <c r="AB1501" s="243"/>
      <c r="AC1501" s="243"/>
      <c r="AD1501" s="243"/>
      <c r="AE1501" s="243"/>
    </row>
    <row r="1502">
      <c r="P1502" s="242"/>
      <c r="Q1502" s="207"/>
      <c r="U1502" s="243"/>
      <c r="V1502" s="243"/>
      <c r="W1502" s="243"/>
      <c r="X1502" s="243"/>
      <c r="Y1502" s="243"/>
      <c r="Z1502" s="243"/>
      <c r="AA1502" s="243"/>
      <c r="AB1502" s="243"/>
      <c r="AC1502" s="243"/>
      <c r="AD1502" s="243"/>
      <c r="AE1502" s="243"/>
    </row>
    <row r="1503">
      <c r="P1503" s="242"/>
      <c r="Q1503" s="207"/>
      <c r="U1503" s="243"/>
      <c r="V1503" s="243"/>
      <c r="W1503" s="243"/>
      <c r="X1503" s="243"/>
      <c r="Y1503" s="243"/>
      <c r="Z1503" s="243"/>
      <c r="AA1503" s="243"/>
      <c r="AB1503" s="243"/>
      <c r="AC1503" s="243"/>
      <c r="AD1503" s="243"/>
      <c r="AE1503" s="243"/>
    </row>
    <row r="1504">
      <c r="P1504" s="242"/>
      <c r="Q1504" s="207"/>
      <c r="U1504" s="243"/>
      <c r="V1504" s="243"/>
      <c r="W1504" s="243"/>
      <c r="X1504" s="243"/>
      <c r="Y1504" s="243"/>
      <c r="Z1504" s="243"/>
      <c r="AA1504" s="243"/>
      <c r="AB1504" s="243"/>
      <c r="AC1504" s="243"/>
      <c r="AD1504" s="243"/>
      <c r="AE1504" s="243"/>
    </row>
    <row r="1505">
      <c r="P1505" s="242"/>
      <c r="Q1505" s="207"/>
      <c r="U1505" s="243"/>
      <c r="V1505" s="243"/>
      <c r="W1505" s="243"/>
      <c r="X1505" s="243"/>
      <c r="Y1505" s="243"/>
      <c r="Z1505" s="243"/>
      <c r="AA1505" s="243"/>
      <c r="AB1505" s="243"/>
      <c r="AC1505" s="243"/>
      <c r="AD1505" s="243"/>
      <c r="AE1505" s="243"/>
    </row>
    <row r="1506">
      <c r="P1506" s="242"/>
      <c r="Q1506" s="207"/>
      <c r="U1506" s="243"/>
      <c r="V1506" s="243"/>
      <c r="W1506" s="243"/>
      <c r="X1506" s="243"/>
      <c r="Y1506" s="243"/>
      <c r="Z1506" s="243"/>
      <c r="AA1506" s="243"/>
      <c r="AB1506" s="243"/>
      <c r="AC1506" s="243"/>
      <c r="AD1506" s="243"/>
      <c r="AE1506" s="243"/>
    </row>
    <row r="1507">
      <c r="P1507" s="242"/>
      <c r="Q1507" s="207"/>
      <c r="U1507" s="243"/>
      <c r="V1507" s="243"/>
      <c r="W1507" s="243"/>
      <c r="X1507" s="243"/>
      <c r="Y1507" s="243"/>
      <c r="Z1507" s="243"/>
      <c r="AA1507" s="243"/>
      <c r="AB1507" s="243"/>
      <c r="AC1507" s="243"/>
      <c r="AD1507" s="243"/>
      <c r="AE1507" s="243"/>
    </row>
    <row r="1508">
      <c r="P1508" s="242"/>
      <c r="Q1508" s="207"/>
      <c r="U1508" s="243"/>
      <c r="V1508" s="243"/>
      <c r="W1508" s="243"/>
      <c r="X1508" s="243"/>
      <c r="Y1508" s="243"/>
      <c r="Z1508" s="243"/>
      <c r="AA1508" s="243"/>
      <c r="AB1508" s="243"/>
      <c r="AC1508" s="243"/>
      <c r="AD1508" s="243"/>
      <c r="AE1508" s="243"/>
    </row>
    <row r="1509">
      <c r="P1509" s="242"/>
      <c r="Q1509" s="207"/>
      <c r="U1509" s="243"/>
      <c r="V1509" s="243"/>
      <c r="W1509" s="243"/>
      <c r="X1509" s="243"/>
      <c r="Y1509" s="243"/>
      <c r="Z1509" s="243"/>
      <c r="AA1509" s="243"/>
      <c r="AB1509" s="243"/>
      <c r="AC1509" s="243"/>
      <c r="AD1509" s="243"/>
      <c r="AE1509" s="243"/>
    </row>
    <row r="1510">
      <c r="P1510" s="242"/>
      <c r="Q1510" s="207"/>
      <c r="U1510" s="243"/>
      <c r="V1510" s="243"/>
      <c r="W1510" s="243"/>
      <c r="X1510" s="243"/>
      <c r="Y1510" s="243"/>
      <c r="Z1510" s="243"/>
      <c r="AA1510" s="243"/>
      <c r="AB1510" s="243"/>
      <c r="AC1510" s="243"/>
      <c r="AD1510" s="243"/>
      <c r="AE1510" s="243"/>
    </row>
    <row r="1511">
      <c r="P1511" s="242"/>
      <c r="Q1511" s="207"/>
      <c r="U1511" s="243"/>
      <c r="V1511" s="243"/>
      <c r="W1511" s="243"/>
      <c r="X1511" s="243"/>
      <c r="Y1511" s="243"/>
      <c r="Z1511" s="243"/>
      <c r="AA1511" s="243"/>
      <c r="AB1511" s="243"/>
      <c r="AC1511" s="243"/>
      <c r="AD1511" s="243"/>
      <c r="AE1511" s="243"/>
    </row>
    <row r="1512">
      <c r="P1512" s="242"/>
      <c r="Q1512" s="207"/>
      <c r="U1512" s="243"/>
      <c r="V1512" s="243"/>
      <c r="W1512" s="243"/>
      <c r="X1512" s="243"/>
      <c r="Y1512" s="243"/>
      <c r="Z1512" s="243"/>
      <c r="AA1512" s="243"/>
      <c r="AB1512" s="243"/>
      <c r="AC1512" s="243"/>
      <c r="AD1512" s="243"/>
      <c r="AE1512" s="243"/>
    </row>
    <row r="1513">
      <c r="P1513" s="242"/>
      <c r="Q1513" s="207"/>
      <c r="U1513" s="243"/>
      <c r="V1513" s="243"/>
      <c r="W1513" s="243"/>
      <c r="X1513" s="243"/>
      <c r="Y1513" s="243"/>
      <c r="Z1513" s="243"/>
      <c r="AA1513" s="243"/>
      <c r="AB1513" s="243"/>
      <c r="AC1513" s="243"/>
      <c r="AD1513" s="243"/>
      <c r="AE1513" s="243"/>
    </row>
    <row r="1514">
      <c r="P1514" s="242"/>
      <c r="Q1514" s="207"/>
      <c r="U1514" s="243"/>
      <c r="V1514" s="243"/>
      <c r="W1514" s="243"/>
      <c r="X1514" s="243"/>
      <c r="Y1514" s="243"/>
      <c r="Z1514" s="243"/>
      <c r="AA1514" s="243"/>
      <c r="AB1514" s="243"/>
      <c r="AC1514" s="243"/>
      <c r="AD1514" s="243"/>
      <c r="AE1514" s="243"/>
    </row>
    <row r="1515">
      <c r="P1515" s="242"/>
      <c r="Q1515" s="207"/>
      <c r="U1515" s="243"/>
      <c r="V1515" s="243"/>
      <c r="W1515" s="243"/>
      <c r="X1515" s="243"/>
      <c r="Y1515" s="243"/>
      <c r="Z1515" s="243"/>
      <c r="AA1515" s="243"/>
      <c r="AB1515" s="243"/>
      <c r="AC1515" s="243"/>
      <c r="AD1515" s="243"/>
      <c r="AE1515" s="243"/>
    </row>
    <row r="1516">
      <c r="P1516" s="242"/>
      <c r="Q1516" s="207"/>
      <c r="U1516" s="243"/>
      <c r="V1516" s="243"/>
      <c r="W1516" s="243"/>
      <c r="X1516" s="243"/>
      <c r="Y1516" s="243"/>
      <c r="Z1516" s="243"/>
      <c r="AA1516" s="243"/>
      <c r="AB1516" s="243"/>
      <c r="AC1516" s="243"/>
      <c r="AD1516" s="243"/>
      <c r="AE1516" s="243"/>
    </row>
    <row r="1517">
      <c r="P1517" s="242"/>
      <c r="Q1517" s="207"/>
      <c r="U1517" s="243"/>
      <c r="V1517" s="243"/>
      <c r="W1517" s="243"/>
      <c r="X1517" s="243"/>
      <c r="Y1517" s="243"/>
      <c r="Z1517" s="243"/>
      <c r="AA1517" s="243"/>
      <c r="AB1517" s="243"/>
      <c r="AC1517" s="243"/>
      <c r="AD1517" s="243"/>
      <c r="AE1517" s="243"/>
    </row>
    <row r="1518">
      <c r="P1518" s="242"/>
      <c r="Q1518" s="207"/>
      <c r="U1518" s="243"/>
      <c r="V1518" s="243"/>
      <c r="W1518" s="243"/>
      <c r="X1518" s="243"/>
      <c r="Y1518" s="243"/>
      <c r="Z1518" s="243"/>
      <c r="AA1518" s="243"/>
      <c r="AB1518" s="243"/>
      <c r="AC1518" s="243"/>
      <c r="AD1518" s="243"/>
      <c r="AE1518" s="243"/>
    </row>
    <row r="1519">
      <c r="P1519" s="242"/>
      <c r="Q1519" s="207"/>
      <c r="U1519" s="243"/>
      <c r="V1519" s="243"/>
      <c r="W1519" s="243"/>
      <c r="X1519" s="243"/>
      <c r="Y1519" s="243"/>
      <c r="Z1519" s="243"/>
      <c r="AA1519" s="243"/>
      <c r="AB1519" s="243"/>
      <c r="AC1519" s="243"/>
      <c r="AD1519" s="243"/>
      <c r="AE1519" s="243"/>
    </row>
    <row r="1520">
      <c r="P1520" s="242"/>
      <c r="Q1520" s="207"/>
      <c r="U1520" s="243"/>
      <c r="V1520" s="243"/>
      <c r="W1520" s="243"/>
      <c r="X1520" s="243"/>
      <c r="Y1520" s="243"/>
      <c r="Z1520" s="243"/>
      <c r="AA1520" s="243"/>
      <c r="AB1520" s="243"/>
      <c r="AC1520" s="243"/>
      <c r="AD1520" s="243"/>
      <c r="AE1520" s="243"/>
    </row>
    <row r="1521">
      <c r="P1521" s="242"/>
      <c r="Q1521" s="207"/>
      <c r="U1521" s="243"/>
      <c r="V1521" s="243"/>
      <c r="W1521" s="243"/>
      <c r="X1521" s="243"/>
      <c r="Y1521" s="243"/>
      <c r="Z1521" s="243"/>
      <c r="AA1521" s="243"/>
      <c r="AB1521" s="243"/>
      <c r="AC1521" s="243"/>
      <c r="AD1521" s="243"/>
      <c r="AE1521" s="243"/>
    </row>
    <row r="1522">
      <c r="P1522" s="242"/>
      <c r="Q1522" s="207"/>
      <c r="U1522" s="243"/>
      <c r="V1522" s="243"/>
      <c r="W1522" s="243"/>
      <c r="X1522" s="243"/>
      <c r="Y1522" s="243"/>
      <c r="Z1522" s="243"/>
      <c r="AA1522" s="243"/>
      <c r="AB1522" s="243"/>
      <c r="AC1522" s="243"/>
      <c r="AD1522" s="243"/>
      <c r="AE1522" s="243"/>
    </row>
    <row r="1523">
      <c r="P1523" s="242"/>
      <c r="Q1523" s="207"/>
      <c r="U1523" s="243"/>
      <c r="V1523" s="243"/>
      <c r="W1523" s="243"/>
      <c r="X1523" s="243"/>
      <c r="Y1523" s="243"/>
      <c r="Z1523" s="243"/>
      <c r="AA1523" s="243"/>
      <c r="AB1523" s="243"/>
      <c r="AC1523" s="243"/>
      <c r="AD1523" s="243"/>
      <c r="AE1523" s="243"/>
    </row>
    <row r="1524">
      <c r="P1524" s="242"/>
      <c r="Q1524" s="207"/>
      <c r="U1524" s="243"/>
      <c r="V1524" s="243"/>
      <c r="W1524" s="243"/>
      <c r="X1524" s="243"/>
      <c r="Y1524" s="243"/>
      <c r="Z1524" s="243"/>
      <c r="AA1524" s="243"/>
      <c r="AB1524" s="243"/>
      <c r="AC1524" s="243"/>
      <c r="AD1524" s="243"/>
      <c r="AE1524" s="243"/>
    </row>
    <row r="1525">
      <c r="P1525" s="242"/>
      <c r="Q1525" s="207"/>
      <c r="U1525" s="243"/>
      <c r="V1525" s="243"/>
      <c r="W1525" s="243"/>
      <c r="X1525" s="243"/>
      <c r="Y1525" s="243"/>
      <c r="Z1525" s="243"/>
      <c r="AA1525" s="243"/>
      <c r="AB1525" s="243"/>
      <c r="AC1525" s="243"/>
      <c r="AD1525" s="243"/>
      <c r="AE1525" s="243"/>
    </row>
    <row r="1526">
      <c r="P1526" s="242"/>
      <c r="Q1526" s="207"/>
      <c r="U1526" s="243"/>
      <c r="V1526" s="243"/>
      <c r="W1526" s="243"/>
      <c r="X1526" s="243"/>
      <c r="Y1526" s="243"/>
      <c r="Z1526" s="243"/>
      <c r="AA1526" s="243"/>
      <c r="AB1526" s="243"/>
      <c r="AC1526" s="243"/>
      <c r="AD1526" s="243"/>
      <c r="AE1526" s="243"/>
    </row>
    <row r="1527">
      <c r="P1527" s="242"/>
      <c r="Q1527" s="207"/>
      <c r="U1527" s="243"/>
      <c r="V1527" s="243"/>
      <c r="W1527" s="243"/>
      <c r="X1527" s="243"/>
      <c r="Y1527" s="243"/>
      <c r="Z1527" s="243"/>
      <c r="AA1527" s="243"/>
      <c r="AB1527" s="243"/>
      <c r="AC1527" s="243"/>
      <c r="AD1527" s="243"/>
      <c r="AE1527" s="243"/>
    </row>
    <row r="1528">
      <c r="P1528" s="242"/>
      <c r="Q1528" s="207"/>
      <c r="U1528" s="243"/>
      <c r="V1528" s="243"/>
      <c r="W1528" s="243"/>
      <c r="X1528" s="243"/>
      <c r="Y1528" s="243"/>
      <c r="Z1528" s="243"/>
      <c r="AA1528" s="243"/>
      <c r="AB1528" s="243"/>
      <c r="AC1528" s="243"/>
      <c r="AD1528" s="243"/>
      <c r="AE1528" s="243"/>
    </row>
    <row r="1529">
      <c r="P1529" s="242"/>
      <c r="Q1529" s="207"/>
      <c r="U1529" s="243"/>
      <c r="V1529" s="243"/>
      <c r="W1529" s="243"/>
      <c r="X1529" s="243"/>
      <c r="Y1529" s="243"/>
      <c r="Z1529" s="243"/>
      <c r="AA1529" s="243"/>
      <c r="AB1529" s="243"/>
      <c r="AC1529" s="243"/>
      <c r="AD1529" s="243"/>
      <c r="AE1529" s="243"/>
    </row>
    <row r="1530">
      <c r="P1530" s="242"/>
      <c r="Q1530" s="207"/>
      <c r="U1530" s="243"/>
      <c r="V1530" s="243"/>
      <c r="W1530" s="243"/>
      <c r="X1530" s="243"/>
      <c r="Y1530" s="243"/>
      <c r="Z1530" s="243"/>
      <c r="AA1530" s="243"/>
      <c r="AB1530" s="243"/>
      <c r="AC1530" s="243"/>
      <c r="AD1530" s="243"/>
      <c r="AE1530" s="243"/>
    </row>
    <row r="1531">
      <c r="P1531" s="242"/>
      <c r="Q1531" s="207"/>
      <c r="U1531" s="243"/>
      <c r="V1531" s="243"/>
      <c r="W1531" s="243"/>
      <c r="X1531" s="243"/>
      <c r="Y1531" s="243"/>
      <c r="Z1531" s="243"/>
      <c r="AA1531" s="243"/>
      <c r="AB1531" s="243"/>
      <c r="AC1531" s="243"/>
      <c r="AD1531" s="243"/>
      <c r="AE1531" s="243"/>
    </row>
    <row r="1532">
      <c r="P1532" s="242"/>
      <c r="Q1532" s="207"/>
      <c r="U1532" s="243"/>
      <c r="V1532" s="243"/>
      <c r="W1532" s="243"/>
      <c r="X1532" s="243"/>
      <c r="Y1532" s="243"/>
      <c r="Z1532" s="243"/>
      <c r="AA1532" s="243"/>
      <c r="AB1532" s="243"/>
      <c r="AC1532" s="243"/>
      <c r="AD1532" s="243"/>
      <c r="AE1532" s="243"/>
    </row>
    <row r="1533">
      <c r="P1533" s="242"/>
      <c r="Q1533" s="207"/>
      <c r="U1533" s="243"/>
      <c r="V1533" s="243"/>
      <c r="W1533" s="243"/>
      <c r="X1533" s="243"/>
      <c r="Y1533" s="243"/>
      <c r="Z1533" s="243"/>
      <c r="AA1533" s="243"/>
      <c r="AB1533" s="243"/>
      <c r="AC1533" s="243"/>
      <c r="AD1533" s="243"/>
      <c r="AE1533" s="243"/>
    </row>
    <row r="1534">
      <c r="P1534" s="242"/>
      <c r="Q1534" s="207"/>
      <c r="U1534" s="243"/>
      <c r="V1534" s="243"/>
      <c r="W1534" s="243"/>
      <c r="X1534" s="243"/>
      <c r="Y1534" s="243"/>
      <c r="Z1534" s="243"/>
      <c r="AA1534" s="243"/>
      <c r="AB1534" s="243"/>
      <c r="AC1534" s="243"/>
      <c r="AD1534" s="243"/>
      <c r="AE1534" s="243"/>
    </row>
    <row r="1535">
      <c r="P1535" s="242"/>
      <c r="Q1535" s="207"/>
      <c r="U1535" s="243"/>
      <c r="V1535" s="243"/>
      <c r="W1535" s="243"/>
      <c r="X1535" s="243"/>
      <c r="Y1535" s="243"/>
      <c r="Z1535" s="243"/>
      <c r="AA1535" s="243"/>
      <c r="AB1535" s="243"/>
      <c r="AC1535" s="243"/>
      <c r="AD1535" s="243"/>
      <c r="AE1535" s="243"/>
    </row>
    <row r="1536">
      <c r="P1536" s="242"/>
      <c r="Q1536" s="207"/>
      <c r="U1536" s="243"/>
      <c r="V1536" s="243"/>
      <c r="W1536" s="243"/>
      <c r="X1536" s="243"/>
      <c r="Y1536" s="243"/>
      <c r="Z1536" s="243"/>
      <c r="AA1536" s="243"/>
      <c r="AB1536" s="243"/>
      <c r="AC1536" s="243"/>
      <c r="AD1536" s="243"/>
      <c r="AE1536" s="243"/>
    </row>
    <row r="1537">
      <c r="P1537" s="242"/>
      <c r="Q1537" s="207"/>
      <c r="U1537" s="243"/>
      <c r="V1537" s="243"/>
      <c r="W1537" s="243"/>
      <c r="X1537" s="243"/>
      <c r="Y1537" s="243"/>
      <c r="Z1537" s="243"/>
      <c r="AA1537" s="243"/>
      <c r="AB1537" s="243"/>
      <c r="AC1537" s="243"/>
      <c r="AD1537" s="243"/>
      <c r="AE1537" s="243"/>
    </row>
    <row r="1538">
      <c r="P1538" s="242"/>
      <c r="Q1538" s="207"/>
      <c r="U1538" s="243"/>
      <c r="V1538" s="243"/>
      <c r="W1538" s="243"/>
      <c r="X1538" s="243"/>
      <c r="Y1538" s="243"/>
      <c r="Z1538" s="243"/>
      <c r="AA1538" s="243"/>
      <c r="AB1538" s="243"/>
      <c r="AC1538" s="243"/>
      <c r="AD1538" s="243"/>
      <c r="AE1538" s="243"/>
    </row>
    <row r="1539">
      <c r="P1539" s="242"/>
      <c r="Q1539" s="207"/>
      <c r="U1539" s="243"/>
      <c r="V1539" s="243"/>
      <c r="W1539" s="243"/>
      <c r="X1539" s="243"/>
      <c r="Y1539" s="243"/>
      <c r="Z1539" s="243"/>
      <c r="AA1539" s="243"/>
      <c r="AB1539" s="243"/>
      <c r="AC1539" s="243"/>
      <c r="AD1539" s="243"/>
      <c r="AE1539" s="243"/>
    </row>
    <row r="1540">
      <c r="P1540" s="242"/>
      <c r="Q1540" s="207"/>
      <c r="U1540" s="243"/>
      <c r="V1540" s="243"/>
      <c r="W1540" s="243"/>
      <c r="X1540" s="243"/>
      <c r="Y1540" s="243"/>
      <c r="Z1540" s="243"/>
      <c r="AA1540" s="243"/>
      <c r="AB1540" s="243"/>
      <c r="AC1540" s="243"/>
      <c r="AD1540" s="243"/>
      <c r="AE1540" s="243"/>
    </row>
    <row r="1541">
      <c r="P1541" s="242"/>
      <c r="Q1541" s="207"/>
      <c r="U1541" s="243"/>
      <c r="V1541" s="243"/>
      <c r="W1541" s="243"/>
      <c r="X1541" s="243"/>
      <c r="Y1541" s="243"/>
      <c r="Z1541" s="243"/>
      <c r="AA1541" s="243"/>
      <c r="AB1541" s="243"/>
      <c r="AC1541" s="243"/>
      <c r="AD1541" s="243"/>
      <c r="AE1541" s="243"/>
    </row>
    <row r="1542">
      <c r="P1542" s="242"/>
      <c r="Q1542" s="207"/>
      <c r="U1542" s="243"/>
      <c r="V1542" s="243"/>
      <c r="W1542" s="243"/>
      <c r="X1542" s="243"/>
      <c r="Y1542" s="243"/>
      <c r="Z1542" s="243"/>
      <c r="AA1542" s="243"/>
      <c r="AB1542" s="243"/>
      <c r="AC1542" s="243"/>
      <c r="AD1542" s="243"/>
      <c r="AE1542" s="243"/>
    </row>
    <row r="1543">
      <c r="P1543" s="242"/>
      <c r="Q1543" s="207"/>
      <c r="U1543" s="243"/>
      <c r="V1543" s="243"/>
      <c r="W1543" s="243"/>
      <c r="X1543" s="243"/>
      <c r="Y1543" s="243"/>
      <c r="Z1543" s="243"/>
      <c r="AA1543" s="243"/>
      <c r="AB1543" s="243"/>
      <c r="AC1543" s="243"/>
      <c r="AD1543" s="243"/>
      <c r="AE1543" s="243"/>
    </row>
    <row r="1544">
      <c r="P1544" s="242"/>
      <c r="Q1544" s="207"/>
      <c r="U1544" s="243"/>
      <c r="V1544" s="243"/>
      <c r="W1544" s="243"/>
      <c r="X1544" s="243"/>
      <c r="Y1544" s="243"/>
      <c r="Z1544" s="243"/>
      <c r="AA1544" s="243"/>
      <c r="AB1544" s="243"/>
      <c r="AC1544" s="243"/>
      <c r="AD1544" s="243"/>
      <c r="AE1544" s="243"/>
    </row>
    <row r="1545">
      <c r="P1545" s="242"/>
      <c r="Q1545" s="207"/>
      <c r="U1545" s="243"/>
      <c r="V1545" s="243"/>
      <c r="W1545" s="243"/>
      <c r="X1545" s="243"/>
      <c r="Y1545" s="243"/>
      <c r="Z1545" s="243"/>
      <c r="AA1545" s="243"/>
      <c r="AB1545" s="243"/>
      <c r="AC1545" s="243"/>
      <c r="AD1545" s="243"/>
      <c r="AE1545" s="243"/>
    </row>
    <row r="1546">
      <c r="P1546" s="242"/>
      <c r="Q1546" s="207"/>
      <c r="U1546" s="243"/>
      <c r="V1546" s="243"/>
      <c r="W1546" s="243"/>
      <c r="X1546" s="243"/>
      <c r="Y1546" s="243"/>
      <c r="Z1546" s="243"/>
      <c r="AA1546" s="243"/>
      <c r="AB1546" s="243"/>
      <c r="AC1546" s="243"/>
      <c r="AD1546" s="243"/>
      <c r="AE1546" s="243"/>
    </row>
    <row r="1547">
      <c r="P1547" s="242"/>
      <c r="Q1547" s="207"/>
      <c r="U1547" s="243"/>
      <c r="V1547" s="243"/>
      <c r="W1547" s="243"/>
      <c r="X1547" s="243"/>
      <c r="Y1547" s="243"/>
      <c r="Z1547" s="243"/>
      <c r="AA1547" s="243"/>
      <c r="AB1547" s="243"/>
      <c r="AC1547" s="243"/>
      <c r="AD1547" s="243"/>
      <c r="AE1547" s="243"/>
    </row>
    <row r="1548">
      <c r="P1548" s="242"/>
      <c r="Q1548" s="207"/>
      <c r="U1548" s="243"/>
      <c r="V1548" s="243"/>
      <c r="W1548" s="243"/>
      <c r="X1548" s="243"/>
      <c r="Y1548" s="243"/>
      <c r="Z1548" s="243"/>
      <c r="AA1548" s="243"/>
      <c r="AB1548" s="243"/>
      <c r="AC1548" s="243"/>
      <c r="AD1548" s="243"/>
      <c r="AE1548" s="243"/>
    </row>
    <row r="1549">
      <c r="P1549" s="242"/>
      <c r="Q1549" s="207"/>
      <c r="U1549" s="243"/>
      <c r="V1549" s="243"/>
      <c r="W1549" s="243"/>
      <c r="X1549" s="243"/>
      <c r="Y1549" s="243"/>
      <c r="Z1549" s="243"/>
      <c r="AA1549" s="243"/>
      <c r="AB1549" s="243"/>
      <c r="AC1549" s="243"/>
      <c r="AD1549" s="243"/>
      <c r="AE1549" s="243"/>
    </row>
    <row r="1550">
      <c r="P1550" s="242"/>
      <c r="Q1550" s="207"/>
      <c r="U1550" s="243"/>
      <c r="V1550" s="243"/>
      <c r="W1550" s="243"/>
      <c r="X1550" s="243"/>
      <c r="Y1550" s="243"/>
      <c r="Z1550" s="243"/>
      <c r="AA1550" s="243"/>
      <c r="AB1550" s="243"/>
      <c r="AC1550" s="243"/>
      <c r="AD1550" s="243"/>
      <c r="AE1550" s="243"/>
    </row>
    <row r="1551">
      <c r="P1551" s="242"/>
      <c r="Q1551" s="207"/>
      <c r="U1551" s="243"/>
      <c r="V1551" s="243"/>
      <c r="W1551" s="243"/>
      <c r="X1551" s="243"/>
      <c r="Y1551" s="243"/>
      <c r="Z1551" s="243"/>
      <c r="AA1551" s="243"/>
      <c r="AB1551" s="243"/>
      <c r="AC1551" s="243"/>
      <c r="AD1551" s="243"/>
      <c r="AE1551" s="243"/>
    </row>
    <row r="1552">
      <c r="P1552" s="242"/>
      <c r="Q1552" s="207"/>
      <c r="U1552" s="243"/>
      <c r="V1552" s="243"/>
      <c r="W1552" s="243"/>
      <c r="X1552" s="243"/>
      <c r="Y1552" s="243"/>
      <c r="Z1552" s="243"/>
      <c r="AA1552" s="243"/>
      <c r="AB1552" s="243"/>
      <c r="AC1552" s="243"/>
      <c r="AD1552" s="243"/>
      <c r="AE1552" s="243"/>
    </row>
    <row r="1553">
      <c r="P1553" s="242"/>
      <c r="Q1553" s="207"/>
      <c r="U1553" s="243"/>
      <c r="V1553" s="243"/>
      <c r="W1553" s="243"/>
      <c r="X1553" s="243"/>
      <c r="Y1553" s="243"/>
      <c r="Z1553" s="243"/>
      <c r="AA1553" s="243"/>
      <c r="AB1553" s="243"/>
      <c r="AC1553" s="243"/>
      <c r="AD1553" s="243"/>
      <c r="AE1553" s="243"/>
    </row>
    <row r="1554">
      <c r="P1554" s="242"/>
      <c r="Q1554" s="207"/>
      <c r="U1554" s="243"/>
      <c r="V1554" s="243"/>
      <c r="W1554" s="243"/>
      <c r="X1554" s="243"/>
      <c r="Y1554" s="243"/>
      <c r="Z1554" s="243"/>
      <c r="AA1554" s="243"/>
      <c r="AB1554" s="243"/>
      <c r="AC1554" s="243"/>
      <c r="AD1554" s="243"/>
      <c r="AE1554" s="243"/>
    </row>
    <row r="1555">
      <c r="P1555" s="242"/>
      <c r="Q1555" s="207"/>
      <c r="U1555" s="243"/>
      <c r="V1555" s="243"/>
      <c r="W1555" s="243"/>
      <c r="X1555" s="243"/>
      <c r="Y1555" s="243"/>
      <c r="Z1555" s="243"/>
      <c r="AA1555" s="243"/>
      <c r="AB1555" s="243"/>
      <c r="AC1555" s="243"/>
      <c r="AD1555" s="243"/>
      <c r="AE1555" s="243"/>
    </row>
    <row r="1556">
      <c r="P1556" s="242"/>
      <c r="Q1556" s="207"/>
      <c r="U1556" s="243"/>
      <c r="V1556" s="243"/>
      <c r="W1556" s="243"/>
      <c r="X1556" s="243"/>
      <c r="Y1556" s="243"/>
      <c r="Z1556" s="243"/>
      <c r="AA1556" s="243"/>
      <c r="AB1556" s="243"/>
      <c r="AC1556" s="243"/>
      <c r="AD1556" s="243"/>
      <c r="AE1556" s="243"/>
    </row>
    <row r="1557">
      <c r="P1557" s="242"/>
      <c r="Q1557" s="207"/>
      <c r="U1557" s="243"/>
      <c r="V1557" s="243"/>
      <c r="W1557" s="243"/>
      <c r="X1557" s="243"/>
      <c r="Y1557" s="243"/>
      <c r="Z1557" s="243"/>
      <c r="AA1557" s="243"/>
      <c r="AB1557" s="243"/>
      <c r="AC1557" s="243"/>
      <c r="AD1557" s="243"/>
      <c r="AE1557" s="243"/>
    </row>
    <row r="1558">
      <c r="P1558" s="242"/>
      <c r="Q1558" s="207"/>
      <c r="U1558" s="243"/>
      <c r="V1558" s="243"/>
      <c r="W1558" s="243"/>
      <c r="X1558" s="243"/>
      <c r="Y1558" s="243"/>
      <c r="Z1558" s="243"/>
      <c r="AA1558" s="243"/>
      <c r="AB1558" s="243"/>
      <c r="AC1558" s="243"/>
      <c r="AD1558" s="243"/>
      <c r="AE1558" s="243"/>
    </row>
    <row r="1559">
      <c r="P1559" s="242"/>
      <c r="Q1559" s="207"/>
      <c r="U1559" s="243"/>
      <c r="V1559" s="243"/>
      <c r="W1559" s="243"/>
      <c r="X1559" s="243"/>
      <c r="Y1559" s="243"/>
      <c r="Z1559" s="243"/>
      <c r="AA1559" s="243"/>
      <c r="AB1559" s="243"/>
      <c r="AC1559" s="243"/>
      <c r="AD1559" s="243"/>
      <c r="AE1559" s="243"/>
    </row>
    <row r="1560">
      <c r="P1560" s="242"/>
      <c r="Q1560" s="207"/>
      <c r="U1560" s="243"/>
      <c r="V1560" s="243"/>
      <c r="W1560" s="243"/>
      <c r="X1560" s="243"/>
      <c r="Y1560" s="243"/>
      <c r="Z1560" s="243"/>
      <c r="AA1560" s="243"/>
      <c r="AB1560" s="243"/>
      <c r="AC1560" s="243"/>
      <c r="AD1560" s="243"/>
      <c r="AE1560" s="243"/>
    </row>
    <row r="1561">
      <c r="P1561" s="242"/>
      <c r="Q1561" s="207"/>
      <c r="U1561" s="243"/>
      <c r="V1561" s="243"/>
      <c r="W1561" s="243"/>
      <c r="X1561" s="243"/>
      <c r="Y1561" s="243"/>
      <c r="Z1561" s="243"/>
      <c r="AA1561" s="243"/>
      <c r="AB1561" s="243"/>
      <c r="AC1561" s="243"/>
      <c r="AD1561" s="243"/>
      <c r="AE1561" s="243"/>
    </row>
    <row r="1562">
      <c r="P1562" s="242"/>
      <c r="Q1562" s="207"/>
      <c r="U1562" s="243"/>
      <c r="V1562" s="243"/>
      <c r="W1562" s="243"/>
      <c r="X1562" s="243"/>
      <c r="Y1562" s="243"/>
      <c r="Z1562" s="243"/>
      <c r="AA1562" s="243"/>
      <c r="AB1562" s="243"/>
      <c r="AC1562" s="243"/>
      <c r="AD1562" s="243"/>
      <c r="AE1562" s="243"/>
    </row>
    <row r="1563">
      <c r="P1563" s="242"/>
      <c r="Q1563" s="207"/>
      <c r="U1563" s="243"/>
      <c r="V1563" s="243"/>
      <c r="W1563" s="243"/>
      <c r="X1563" s="243"/>
      <c r="Y1563" s="243"/>
      <c r="Z1563" s="243"/>
      <c r="AA1563" s="243"/>
      <c r="AB1563" s="243"/>
      <c r="AC1563" s="243"/>
      <c r="AD1563" s="243"/>
      <c r="AE1563" s="243"/>
    </row>
    <row r="1564">
      <c r="P1564" s="242"/>
      <c r="Q1564" s="207"/>
      <c r="U1564" s="243"/>
      <c r="V1564" s="243"/>
      <c r="W1564" s="243"/>
      <c r="X1564" s="243"/>
      <c r="Y1564" s="243"/>
      <c r="Z1564" s="243"/>
      <c r="AA1564" s="243"/>
      <c r="AB1564" s="243"/>
      <c r="AC1564" s="243"/>
      <c r="AD1564" s="243"/>
      <c r="AE1564" s="243"/>
    </row>
    <row r="1565">
      <c r="P1565" s="242"/>
      <c r="Q1565" s="207"/>
      <c r="U1565" s="243"/>
      <c r="V1565" s="243"/>
      <c r="W1565" s="243"/>
      <c r="X1565" s="243"/>
      <c r="Y1565" s="243"/>
      <c r="Z1565" s="243"/>
      <c r="AA1565" s="243"/>
      <c r="AB1565" s="243"/>
      <c r="AC1565" s="243"/>
      <c r="AD1565" s="243"/>
      <c r="AE1565" s="243"/>
    </row>
    <row r="1566">
      <c r="P1566" s="242"/>
      <c r="Q1566" s="207"/>
      <c r="U1566" s="243"/>
      <c r="V1566" s="243"/>
      <c r="W1566" s="243"/>
      <c r="X1566" s="243"/>
      <c r="Y1566" s="243"/>
      <c r="Z1566" s="243"/>
      <c r="AA1566" s="243"/>
      <c r="AB1566" s="243"/>
      <c r="AC1566" s="243"/>
      <c r="AD1566" s="243"/>
      <c r="AE1566" s="243"/>
    </row>
    <row r="1567">
      <c r="P1567" s="242"/>
      <c r="Q1567" s="207"/>
      <c r="U1567" s="243"/>
      <c r="V1567" s="243"/>
      <c r="W1567" s="243"/>
      <c r="X1567" s="243"/>
      <c r="Y1567" s="243"/>
      <c r="Z1567" s="243"/>
      <c r="AA1567" s="243"/>
      <c r="AB1567" s="243"/>
      <c r="AC1567" s="243"/>
      <c r="AD1567" s="243"/>
      <c r="AE1567" s="243"/>
    </row>
    <row r="1568">
      <c r="P1568" s="242"/>
      <c r="Q1568" s="207"/>
      <c r="U1568" s="243"/>
      <c r="V1568" s="243"/>
      <c r="W1568" s="243"/>
      <c r="X1568" s="243"/>
      <c r="Y1568" s="243"/>
      <c r="Z1568" s="243"/>
      <c r="AA1568" s="243"/>
      <c r="AB1568" s="243"/>
      <c r="AC1568" s="243"/>
      <c r="AD1568" s="243"/>
      <c r="AE1568" s="243"/>
    </row>
    <row r="1569">
      <c r="P1569" s="242"/>
      <c r="Q1569" s="207"/>
      <c r="U1569" s="243"/>
      <c r="V1569" s="243"/>
      <c r="W1569" s="243"/>
      <c r="X1569" s="243"/>
      <c r="Y1569" s="243"/>
      <c r="Z1569" s="243"/>
      <c r="AA1569" s="243"/>
      <c r="AB1569" s="243"/>
      <c r="AC1569" s="243"/>
      <c r="AD1569" s="243"/>
      <c r="AE1569" s="243"/>
    </row>
    <row r="1570">
      <c r="P1570" s="242"/>
      <c r="Q1570" s="207"/>
      <c r="U1570" s="243"/>
      <c r="V1570" s="243"/>
      <c r="W1570" s="243"/>
      <c r="X1570" s="243"/>
      <c r="Y1570" s="243"/>
      <c r="Z1570" s="243"/>
      <c r="AA1570" s="243"/>
      <c r="AB1570" s="243"/>
      <c r="AC1570" s="243"/>
      <c r="AD1570" s="243"/>
      <c r="AE1570" s="243"/>
    </row>
    <row r="1571">
      <c r="P1571" s="242"/>
      <c r="Q1571" s="207"/>
      <c r="U1571" s="243"/>
      <c r="V1571" s="243"/>
      <c r="W1571" s="243"/>
      <c r="X1571" s="243"/>
      <c r="Y1571" s="243"/>
      <c r="Z1571" s="243"/>
      <c r="AA1571" s="243"/>
      <c r="AB1571" s="243"/>
      <c r="AC1571" s="243"/>
      <c r="AD1571" s="243"/>
      <c r="AE1571" s="243"/>
    </row>
    <row r="1572">
      <c r="P1572" s="242"/>
      <c r="Q1572" s="207"/>
      <c r="U1572" s="243"/>
      <c r="V1572" s="243"/>
      <c r="W1572" s="243"/>
      <c r="X1572" s="243"/>
      <c r="Y1572" s="243"/>
      <c r="Z1572" s="243"/>
      <c r="AA1572" s="243"/>
      <c r="AB1572" s="243"/>
      <c r="AC1572" s="243"/>
      <c r="AD1572" s="243"/>
      <c r="AE1572" s="243"/>
    </row>
    <row r="1573">
      <c r="P1573" s="242"/>
      <c r="Q1573" s="207"/>
      <c r="U1573" s="243"/>
      <c r="V1573" s="243"/>
      <c r="W1573" s="243"/>
      <c r="X1573" s="243"/>
      <c r="Y1573" s="243"/>
      <c r="Z1573" s="243"/>
      <c r="AA1573" s="243"/>
      <c r="AB1573" s="243"/>
      <c r="AC1573" s="243"/>
      <c r="AD1573" s="243"/>
      <c r="AE1573" s="243"/>
    </row>
    <row r="1574">
      <c r="P1574" s="242"/>
      <c r="Q1574" s="207"/>
      <c r="U1574" s="243"/>
      <c r="V1574" s="243"/>
      <c r="W1574" s="243"/>
      <c r="X1574" s="243"/>
      <c r="Y1574" s="243"/>
      <c r="Z1574" s="243"/>
      <c r="AA1574" s="243"/>
      <c r="AB1574" s="243"/>
      <c r="AC1574" s="243"/>
      <c r="AD1574" s="243"/>
      <c r="AE1574" s="243"/>
    </row>
    <row r="1575">
      <c r="P1575" s="242"/>
      <c r="Q1575" s="207"/>
      <c r="U1575" s="243"/>
      <c r="V1575" s="243"/>
      <c r="W1575" s="243"/>
      <c r="X1575" s="243"/>
      <c r="Y1575" s="243"/>
      <c r="Z1575" s="243"/>
      <c r="AA1575" s="243"/>
      <c r="AB1575" s="243"/>
      <c r="AC1575" s="243"/>
      <c r="AD1575" s="243"/>
      <c r="AE1575" s="243"/>
    </row>
    <row r="1576">
      <c r="P1576" s="242"/>
      <c r="Q1576" s="207"/>
      <c r="U1576" s="243"/>
      <c r="V1576" s="243"/>
      <c r="W1576" s="243"/>
      <c r="X1576" s="243"/>
      <c r="Y1576" s="243"/>
      <c r="Z1576" s="243"/>
      <c r="AA1576" s="243"/>
      <c r="AB1576" s="243"/>
      <c r="AC1576" s="243"/>
      <c r="AD1576" s="243"/>
      <c r="AE1576" s="243"/>
    </row>
    <row r="1577">
      <c r="P1577" s="242"/>
      <c r="Q1577" s="207"/>
      <c r="U1577" s="243"/>
      <c r="V1577" s="243"/>
      <c r="W1577" s="243"/>
      <c r="X1577" s="243"/>
      <c r="Y1577" s="243"/>
      <c r="Z1577" s="243"/>
      <c r="AA1577" s="243"/>
      <c r="AB1577" s="243"/>
      <c r="AC1577" s="243"/>
      <c r="AD1577" s="243"/>
      <c r="AE1577" s="243"/>
    </row>
    <row r="1578">
      <c r="P1578" s="242"/>
      <c r="Q1578" s="207"/>
      <c r="U1578" s="243"/>
      <c r="V1578" s="243"/>
      <c r="W1578" s="243"/>
      <c r="X1578" s="243"/>
      <c r="Y1578" s="243"/>
      <c r="Z1578" s="243"/>
      <c r="AA1578" s="243"/>
      <c r="AB1578" s="243"/>
      <c r="AC1578" s="243"/>
      <c r="AD1578" s="243"/>
      <c r="AE1578" s="243"/>
    </row>
    <row r="1579">
      <c r="P1579" s="242"/>
      <c r="Q1579" s="207"/>
      <c r="U1579" s="243"/>
      <c r="V1579" s="243"/>
      <c r="W1579" s="243"/>
      <c r="X1579" s="243"/>
      <c r="Y1579" s="243"/>
      <c r="Z1579" s="243"/>
      <c r="AA1579" s="243"/>
      <c r="AB1579" s="243"/>
      <c r="AC1579" s="243"/>
      <c r="AD1579" s="243"/>
      <c r="AE1579" s="243"/>
    </row>
    <row r="1580">
      <c r="P1580" s="242"/>
      <c r="Q1580" s="207"/>
      <c r="U1580" s="243"/>
      <c r="V1580" s="243"/>
      <c r="W1580" s="243"/>
      <c r="X1580" s="243"/>
      <c r="Y1580" s="243"/>
      <c r="Z1580" s="243"/>
      <c r="AA1580" s="243"/>
      <c r="AB1580" s="243"/>
      <c r="AC1580" s="243"/>
      <c r="AD1580" s="243"/>
      <c r="AE1580" s="243"/>
    </row>
    <row r="1581">
      <c r="P1581" s="242"/>
      <c r="Q1581" s="207"/>
      <c r="U1581" s="243"/>
      <c r="V1581" s="243"/>
      <c r="W1581" s="243"/>
      <c r="X1581" s="243"/>
      <c r="Y1581" s="243"/>
      <c r="Z1581" s="243"/>
      <c r="AA1581" s="243"/>
      <c r="AB1581" s="243"/>
      <c r="AC1581" s="243"/>
      <c r="AD1581" s="243"/>
      <c r="AE1581" s="243"/>
    </row>
    <row r="1582">
      <c r="P1582" s="242"/>
      <c r="Q1582" s="207"/>
      <c r="U1582" s="243"/>
      <c r="V1582" s="243"/>
      <c r="W1582" s="243"/>
      <c r="X1582" s="243"/>
      <c r="Y1582" s="243"/>
      <c r="Z1582" s="243"/>
      <c r="AA1582" s="243"/>
      <c r="AB1582" s="243"/>
      <c r="AC1582" s="243"/>
      <c r="AD1582" s="243"/>
      <c r="AE1582" s="243"/>
    </row>
    <row r="1583">
      <c r="P1583" s="242"/>
      <c r="Q1583" s="207"/>
      <c r="U1583" s="243"/>
      <c r="V1583" s="243"/>
      <c r="W1583" s="243"/>
      <c r="X1583" s="243"/>
      <c r="Y1583" s="243"/>
      <c r="Z1583" s="243"/>
      <c r="AA1583" s="243"/>
      <c r="AB1583" s="243"/>
      <c r="AC1583" s="243"/>
      <c r="AD1583" s="243"/>
      <c r="AE1583" s="243"/>
    </row>
    <row r="1584">
      <c r="P1584" s="242"/>
      <c r="Q1584" s="207"/>
      <c r="U1584" s="243"/>
      <c r="V1584" s="243"/>
      <c r="W1584" s="243"/>
      <c r="X1584" s="243"/>
      <c r="Y1584" s="243"/>
      <c r="Z1584" s="243"/>
      <c r="AA1584" s="243"/>
      <c r="AB1584" s="243"/>
      <c r="AC1584" s="243"/>
      <c r="AD1584" s="243"/>
      <c r="AE1584" s="243"/>
    </row>
    <row r="1585">
      <c r="P1585" s="242"/>
      <c r="Q1585" s="207"/>
      <c r="U1585" s="243"/>
      <c r="V1585" s="243"/>
      <c r="W1585" s="243"/>
      <c r="X1585" s="243"/>
      <c r="Y1585" s="243"/>
      <c r="Z1585" s="243"/>
      <c r="AA1585" s="243"/>
      <c r="AB1585" s="243"/>
      <c r="AC1585" s="243"/>
      <c r="AD1585" s="243"/>
      <c r="AE1585" s="243"/>
    </row>
    <row r="1586">
      <c r="P1586" s="242"/>
      <c r="Q1586" s="207"/>
      <c r="U1586" s="243"/>
      <c r="V1586" s="243"/>
      <c r="W1586" s="243"/>
      <c r="X1586" s="243"/>
      <c r="Y1586" s="243"/>
      <c r="Z1586" s="243"/>
      <c r="AA1586" s="243"/>
      <c r="AB1586" s="243"/>
      <c r="AC1586" s="243"/>
      <c r="AD1586" s="243"/>
      <c r="AE1586" s="243"/>
    </row>
    <row r="1587">
      <c r="P1587" s="242"/>
      <c r="Q1587" s="207"/>
      <c r="U1587" s="243"/>
      <c r="V1587" s="243"/>
      <c r="W1587" s="243"/>
      <c r="X1587" s="243"/>
      <c r="Y1587" s="243"/>
      <c r="Z1587" s="243"/>
      <c r="AA1587" s="243"/>
      <c r="AB1587" s="243"/>
      <c r="AC1587" s="243"/>
      <c r="AD1587" s="243"/>
      <c r="AE1587" s="243"/>
    </row>
    <row r="1588">
      <c r="P1588" s="242"/>
      <c r="Q1588" s="207"/>
      <c r="U1588" s="243"/>
      <c r="V1588" s="243"/>
      <c r="W1588" s="243"/>
      <c r="X1588" s="243"/>
      <c r="Y1588" s="243"/>
      <c r="Z1588" s="243"/>
      <c r="AA1588" s="243"/>
      <c r="AB1588" s="243"/>
      <c r="AC1588" s="243"/>
      <c r="AD1588" s="243"/>
      <c r="AE1588" s="243"/>
    </row>
    <row r="1589">
      <c r="P1589" s="242"/>
      <c r="Q1589" s="207"/>
      <c r="U1589" s="243"/>
      <c r="V1589" s="243"/>
      <c r="W1589" s="243"/>
      <c r="X1589" s="243"/>
      <c r="Y1589" s="243"/>
      <c r="Z1589" s="243"/>
      <c r="AA1589" s="243"/>
      <c r="AB1589" s="243"/>
      <c r="AC1589" s="243"/>
      <c r="AD1589" s="243"/>
      <c r="AE1589" s="243"/>
    </row>
    <row r="1590">
      <c r="P1590" s="242"/>
      <c r="Q1590" s="207"/>
      <c r="U1590" s="243"/>
      <c r="V1590" s="243"/>
      <c r="W1590" s="243"/>
      <c r="X1590" s="243"/>
      <c r="Y1590" s="243"/>
      <c r="Z1590" s="243"/>
      <c r="AA1590" s="243"/>
      <c r="AB1590" s="243"/>
      <c r="AC1590" s="243"/>
      <c r="AD1590" s="243"/>
      <c r="AE1590" s="243"/>
    </row>
    <row r="1591">
      <c r="P1591" s="242"/>
      <c r="Q1591" s="207"/>
      <c r="U1591" s="243"/>
      <c r="V1591" s="243"/>
      <c r="W1591" s="243"/>
      <c r="X1591" s="243"/>
      <c r="Y1591" s="243"/>
      <c r="Z1591" s="243"/>
      <c r="AA1591" s="243"/>
      <c r="AB1591" s="243"/>
      <c r="AC1591" s="243"/>
      <c r="AD1591" s="243"/>
      <c r="AE1591" s="243"/>
    </row>
    <row r="1592">
      <c r="P1592" s="242"/>
      <c r="Q1592" s="207"/>
      <c r="U1592" s="243"/>
      <c r="V1592" s="243"/>
      <c r="W1592" s="243"/>
      <c r="X1592" s="243"/>
      <c r="Y1592" s="243"/>
      <c r="Z1592" s="243"/>
      <c r="AA1592" s="243"/>
      <c r="AB1592" s="243"/>
      <c r="AC1592" s="243"/>
      <c r="AD1592" s="243"/>
      <c r="AE1592" s="243"/>
    </row>
    <row r="1593">
      <c r="P1593" s="242"/>
      <c r="Q1593" s="207"/>
      <c r="U1593" s="243"/>
      <c r="V1593" s="243"/>
      <c r="W1593" s="243"/>
      <c r="X1593" s="243"/>
      <c r="Y1593" s="243"/>
      <c r="Z1593" s="243"/>
      <c r="AA1593" s="243"/>
      <c r="AB1593" s="243"/>
      <c r="AC1593" s="243"/>
      <c r="AD1593" s="243"/>
      <c r="AE1593" s="243"/>
    </row>
    <row r="1594">
      <c r="P1594" s="242"/>
      <c r="Q1594" s="207"/>
      <c r="U1594" s="243"/>
      <c r="V1594" s="243"/>
      <c r="W1594" s="243"/>
      <c r="X1594" s="243"/>
      <c r="Y1594" s="243"/>
      <c r="Z1594" s="243"/>
      <c r="AA1594" s="243"/>
      <c r="AB1594" s="243"/>
      <c r="AC1594" s="243"/>
      <c r="AD1594" s="243"/>
      <c r="AE1594" s="243"/>
    </row>
    <row r="1595">
      <c r="P1595" s="242"/>
      <c r="Q1595" s="207"/>
      <c r="U1595" s="243"/>
      <c r="V1595" s="243"/>
      <c r="W1595" s="243"/>
      <c r="X1595" s="243"/>
      <c r="Y1595" s="243"/>
      <c r="Z1595" s="243"/>
      <c r="AA1595" s="243"/>
      <c r="AB1595" s="243"/>
      <c r="AC1595" s="243"/>
      <c r="AD1595" s="243"/>
      <c r="AE1595" s="243"/>
    </row>
    <row r="1596">
      <c r="P1596" s="242"/>
      <c r="Q1596" s="207"/>
      <c r="U1596" s="243"/>
      <c r="V1596" s="243"/>
      <c r="W1596" s="243"/>
      <c r="X1596" s="243"/>
      <c r="Y1596" s="243"/>
      <c r="Z1596" s="243"/>
      <c r="AA1596" s="243"/>
      <c r="AB1596" s="243"/>
      <c r="AC1596" s="243"/>
      <c r="AD1596" s="243"/>
      <c r="AE1596" s="243"/>
    </row>
    <row r="1597">
      <c r="P1597" s="242"/>
      <c r="Q1597" s="207"/>
      <c r="U1597" s="243"/>
      <c r="V1597" s="243"/>
      <c r="W1597" s="243"/>
      <c r="X1597" s="243"/>
      <c r="Y1597" s="243"/>
      <c r="Z1597" s="243"/>
      <c r="AA1597" s="243"/>
      <c r="AB1597" s="243"/>
      <c r="AC1597" s="243"/>
      <c r="AD1597" s="243"/>
      <c r="AE1597" s="243"/>
    </row>
    <row r="1598">
      <c r="P1598" s="242"/>
      <c r="Q1598" s="207"/>
      <c r="U1598" s="243"/>
      <c r="V1598" s="243"/>
      <c r="W1598" s="243"/>
      <c r="X1598" s="243"/>
      <c r="Y1598" s="243"/>
      <c r="Z1598" s="243"/>
      <c r="AA1598" s="243"/>
      <c r="AB1598" s="243"/>
      <c r="AC1598" s="243"/>
      <c r="AD1598" s="243"/>
      <c r="AE1598" s="243"/>
    </row>
    <row r="1599">
      <c r="P1599" s="242"/>
      <c r="Q1599" s="207"/>
      <c r="U1599" s="243"/>
      <c r="V1599" s="243"/>
      <c r="W1599" s="243"/>
      <c r="X1599" s="243"/>
      <c r="Y1599" s="243"/>
      <c r="Z1599" s="243"/>
      <c r="AA1599" s="243"/>
      <c r="AB1599" s="243"/>
      <c r="AC1599" s="243"/>
      <c r="AD1599" s="243"/>
      <c r="AE1599" s="243"/>
    </row>
    <row r="1600">
      <c r="P1600" s="242"/>
      <c r="Q1600" s="207"/>
      <c r="U1600" s="243"/>
      <c r="V1600" s="243"/>
      <c r="W1600" s="243"/>
      <c r="X1600" s="243"/>
      <c r="Y1600" s="243"/>
      <c r="Z1600" s="243"/>
      <c r="AA1600" s="243"/>
      <c r="AB1600" s="243"/>
      <c r="AC1600" s="243"/>
      <c r="AD1600" s="243"/>
      <c r="AE1600" s="243"/>
    </row>
    <row r="1601">
      <c r="P1601" s="242"/>
      <c r="Q1601" s="207"/>
      <c r="U1601" s="243"/>
      <c r="V1601" s="243"/>
      <c r="W1601" s="243"/>
      <c r="X1601" s="243"/>
      <c r="Y1601" s="243"/>
      <c r="Z1601" s="243"/>
      <c r="AA1601" s="243"/>
      <c r="AB1601" s="243"/>
      <c r="AC1601" s="243"/>
      <c r="AD1601" s="243"/>
      <c r="AE1601" s="243"/>
    </row>
    <row r="1602">
      <c r="P1602" s="242"/>
      <c r="Q1602" s="207"/>
      <c r="U1602" s="243"/>
      <c r="V1602" s="243"/>
      <c r="W1602" s="243"/>
      <c r="X1602" s="243"/>
      <c r="Y1602" s="243"/>
      <c r="Z1602" s="243"/>
      <c r="AA1602" s="243"/>
      <c r="AB1602" s="243"/>
      <c r="AC1602" s="243"/>
      <c r="AD1602" s="243"/>
      <c r="AE1602" s="243"/>
    </row>
    <row r="1603">
      <c r="P1603" s="242"/>
      <c r="Q1603" s="207"/>
      <c r="U1603" s="243"/>
      <c r="V1603" s="243"/>
      <c r="W1603" s="243"/>
      <c r="X1603" s="243"/>
      <c r="Y1603" s="243"/>
      <c r="Z1603" s="243"/>
      <c r="AA1603" s="243"/>
      <c r="AB1603" s="243"/>
      <c r="AC1603" s="243"/>
      <c r="AD1603" s="243"/>
      <c r="AE1603" s="243"/>
    </row>
    <row r="1604">
      <c r="P1604" s="242"/>
      <c r="Q1604" s="207"/>
      <c r="U1604" s="243"/>
      <c r="V1604" s="243"/>
      <c r="W1604" s="243"/>
      <c r="X1604" s="243"/>
      <c r="Y1604" s="243"/>
      <c r="Z1604" s="243"/>
      <c r="AA1604" s="243"/>
      <c r="AB1604" s="243"/>
      <c r="AC1604" s="243"/>
      <c r="AD1604" s="243"/>
      <c r="AE1604" s="243"/>
    </row>
    <row r="1605">
      <c r="P1605" s="242"/>
      <c r="Q1605" s="207"/>
      <c r="U1605" s="243"/>
      <c r="V1605" s="243"/>
      <c r="W1605" s="243"/>
      <c r="X1605" s="243"/>
      <c r="Y1605" s="243"/>
      <c r="Z1605" s="243"/>
      <c r="AA1605" s="243"/>
      <c r="AB1605" s="243"/>
      <c r="AC1605" s="243"/>
      <c r="AD1605" s="243"/>
      <c r="AE1605" s="243"/>
    </row>
    <row r="1606">
      <c r="P1606" s="242"/>
      <c r="Q1606" s="207"/>
      <c r="U1606" s="243"/>
      <c r="V1606" s="243"/>
      <c r="W1606" s="243"/>
      <c r="X1606" s="243"/>
      <c r="Y1606" s="243"/>
      <c r="Z1606" s="243"/>
      <c r="AA1606" s="243"/>
      <c r="AB1606" s="243"/>
      <c r="AC1606" s="243"/>
      <c r="AD1606" s="243"/>
      <c r="AE1606" s="243"/>
    </row>
    <row r="1607">
      <c r="P1607" s="242"/>
      <c r="Q1607" s="207"/>
      <c r="U1607" s="243"/>
      <c r="V1607" s="243"/>
      <c r="W1607" s="243"/>
      <c r="X1607" s="243"/>
      <c r="Y1607" s="243"/>
      <c r="Z1607" s="243"/>
      <c r="AA1607" s="243"/>
      <c r="AB1607" s="243"/>
      <c r="AC1607" s="243"/>
      <c r="AD1607" s="243"/>
      <c r="AE1607" s="243"/>
    </row>
    <row r="1608">
      <c r="P1608" s="242"/>
      <c r="Q1608" s="207"/>
      <c r="U1608" s="243"/>
      <c r="V1608" s="243"/>
      <c r="W1608" s="243"/>
      <c r="X1608" s="243"/>
      <c r="Y1608" s="243"/>
      <c r="Z1608" s="243"/>
      <c r="AA1608" s="243"/>
      <c r="AB1608" s="243"/>
      <c r="AC1608" s="243"/>
      <c r="AD1608" s="243"/>
      <c r="AE1608" s="243"/>
    </row>
    <row r="1609">
      <c r="P1609" s="242"/>
      <c r="Q1609" s="207"/>
      <c r="U1609" s="243"/>
      <c r="V1609" s="243"/>
      <c r="W1609" s="243"/>
      <c r="X1609" s="243"/>
      <c r="Y1609" s="243"/>
      <c r="Z1609" s="243"/>
      <c r="AA1609" s="243"/>
      <c r="AB1609" s="243"/>
      <c r="AC1609" s="243"/>
      <c r="AD1609" s="243"/>
      <c r="AE1609" s="243"/>
    </row>
    <row r="1610">
      <c r="P1610" s="242"/>
      <c r="Q1610" s="207"/>
      <c r="U1610" s="243"/>
      <c r="V1610" s="243"/>
      <c r="W1610" s="243"/>
      <c r="X1610" s="243"/>
      <c r="Y1610" s="243"/>
      <c r="Z1610" s="243"/>
      <c r="AA1610" s="243"/>
      <c r="AB1610" s="243"/>
      <c r="AC1610" s="243"/>
      <c r="AD1610" s="243"/>
      <c r="AE1610" s="243"/>
    </row>
    <row r="1611">
      <c r="P1611" s="242"/>
      <c r="Q1611" s="207"/>
      <c r="U1611" s="243"/>
      <c r="V1611" s="243"/>
      <c r="W1611" s="243"/>
      <c r="X1611" s="243"/>
      <c r="Y1611" s="243"/>
      <c r="Z1611" s="243"/>
      <c r="AA1611" s="243"/>
      <c r="AB1611" s="243"/>
      <c r="AC1611" s="243"/>
      <c r="AD1611" s="243"/>
      <c r="AE1611" s="243"/>
    </row>
    <row r="1612">
      <c r="P1612" s="242"/>
      <c r="Q1612" s="207"/>
      <c r="U1612" s="243"/>
      <c r="V1612" s="243"/>
      <c r="W1612" s="243"/>
      <c r="X1612" s="243"/>
      <c r="Y1612" s="243"/>
      <c r="Z1612" s="243"/>
      <c r="AA1612" s="243"/>
      <c r="AB1612" s="243"/>
      <c r="AC1612" s="243"/>
      <c r="AD1612" s="243"/>
      <c r="AE1612" s="243"/>
    </row>
    <row r="1613">
      <c r="P1613" s="242"/>
      <c r="Q1613" s="207"/>
      <c r="U1613" s="243"/>
      <c r="V1613" s="243"/>
      <c r="W1613" s="243"/>
      <c r="X1613" s="243"/>
      <c r="Y1613" s="243"/>
      <c r="Z1613" s="243"/>
      <c r="AA1613" s="243"/>
      <c r="AB1613" s="243"/>
      <c r="AC1613" s="243"/>
      <c r="AD1613" s="243"/>
      <c r="AE1613" s="243"/>
    </row>
    <row r="1614">
      <c r="P1614" s="242"/>
      <c r="Q1614" s="207"/>
      <c r="U1614" s="243"/>
      <c r="V1614" s="243"/>
      <c r="W1614" s="243"/>
      <c r="X1614" s="243"/>
      <c r="Y1614" s="243"/>
      <c r="Z1614" s="243"/>
      <c r="AA1614" s="243"/>
      <c r="AB1614" s="243"/>
      <c r="AC1614" s="243"/>
      <c r="AD1614" s="243"/>
      <c r="AE1614" s="243"/>
    </row>
    <row r="1615">
      <c r="P1615" s="242"/>
      <c r="Q1615" s="207"/>
      <c r="U1615" s="243"/>
      <c r="V1615" s="243"/>
      <c r="W1615" s="243"/>
      <c r="X1615" s="243"/>
      <c r="Y1615" s="243"/>
      <c r="Z1615" s="243"/>
      <c r="AA1615" s="243"/>
      <c r="AB1615" s="243"/>
      <c r="AC1615" s="243"/>
      <c r="AD1615" s="243"/>
      <c r="AE1615" s="243"/>
    </row>
    <row r="1616">
      <c r="P1616" s="242"/>
      <c r="Q1616" s="207"/>
      <c r="U1616" s="243"/>
      <c r="V1616" s="243"/>
      <c r="W1616" s="243"/>
      <c r="X1616" s="243"/>
      <c r="Y1616" s="243"/>
      <c r="Z1616" s="243"/>
      <c r="AA1616" s="243"/>
      <c r="AB1616" s="243"/>
      <c r="AC1616" s="243"/>
      <c r="AD1616" s="243"/>
      <c r="AE1616" s="243"/>
    </row>
    <row r="1617">
      <c r="P1617" s="242"/>
      <c r="Q1617" s="207"/>
      <c r="U1617" s="243"/>
      <c r="V1617" s="243"/>
      <c r="W1617" s="243"/>
      <c r="X1617" s="243"/>
      <c r="Y1617" s="243"/>
      <c r="Z1617" s="243"/>
      <c r="AA1617" s="243"/>
      <c r="AB1617" s="243"/>
      <c r="AC1617" s="243"/>
      <c r="AD1617" s="243"/>
      <c r="AE1617" s="243"/>
    </row>
    <row r="1618">
      <c r="P1618" s="242"/>
      <c r="Q1618" s="207"/>
      <c r="U1618" s="243"/>
      <c r="V1618" s="243"/>
      <c r="W1618" s="243"/>
      <c r="X1618" s="243"/>
      <c r="Y1618" s="243"/>
      <c r="Z1618" s="243"/>
      <c r="AA1618" s="243"/>
      <c r="AB1618" s="243"/>
      <c r="AC1618" s="243"/>
      <c r="AD1618" s="243"/>
      <c r="AE1618" s="243"/>
    </row>
    <row r="1619">
      <c r="P1619" s="242"/>
      <c r="Q1619" s="207"/>
      <c r="U1619" s="243"/>
      <c r="V1619" s="243"/>
      <c r="W1619" s="243"/>
      <c r="X1619" s="243"/>
      <c r="Y1619" s="243"/>
      <c r="Z1619" s="243"/>
      <c r="AA1619" s="243"/>
      <c r="AB1619" s="243"/>
      <c r="AC1619" s="243"/>
      <c r="AD1619" s="243"/>
      <c r="AE1619" s="243"/>
    </row>
    <row r="1620">
      <c r="P1620" s="242"/>
      <c r="Q1620" s="207"/>
      <c r="U1620" s="243"/>
      <c r="V1620" s="243"/>
      <c r="W1620" s="243"/>
      <c r="X1620" s="243"/>
      <c r="Y1620" s="243"/>
      <c r="Z1620" s="243"/>
      <c r="AA1620" s="243"/>
      <c r="AB1620" s="243"/>
      <c r="AC1620" s="243"/>
      <c r="AD1620" s="243"/>
      <c r="AE1620" s="243"/>
    </row>
    <row r="1621">
      <c r="P1621" s="242"/>
      <c r="Q1621" s="207"/>
      <c r="U1621" s="243"/>
      <c r="V1621" s="243"/>
      <c r="W1621" s="243"/>
      <c r="X1621" s="243"/>
      <c r="Y1621" s="243"/>
      <c r="Z1621" s="243"/>
      <c r="AA1621" s="243"/>
      <c r="AB1621" s="243"/>
      <c r="AC1621" s="243"/>
      <c r="AD1621" s="243"/>
      <c r="AE1621" s="243"/>
    </row>
    <row r="1622">
      <c r="P1622" s="242"/>
      <c r="Q1622" s="207"/>
      <c r="U1622" s="243"/>
      <c r="V1622" s="243"/>
      <c r="W1622" s="243"/>
      <c r="X1622" s="243"/>
      <c r="Y1622" s="243"/>
      <c r="Z1622" s="243"/>
      <c r="AA1622" s="243"/>
      <c r="AB1622" s="243"/>
      <c r="AC1622" s="243"/>
      <c r="AD1622" s="243"/>
      <c r="AE1622" s="243"/>
    </row>
    <row r="1623">
      <c r="P1623" s="242"/>
      <c r="Q1623" s="207"/>
      <c r="U1623" s="243"/>
      <c r="V1623" s="243"/>
      <c r="W1623" s="243"/>
      <c r="X1623" s="243"/>
      <c r="Y1623" s="243"/>
      <c r="Z1623" s="243"/>
      <c r="AA1623" s="243"/>
      <c r="AB1623" s="243"/>
      <c r="AC1623" s="243"/>
      <c r="AD1623" s="243"/>
      <c r="AE1623" s="243"/>
    </row>
    <row r="1624">
      <c r="P1624" s="242"/>
      <c r="Q1624" s="207"/>
      <c r="U1624" s="243"/>
      <c r="V1624" s="243"/>
      <c r="W1624" s="243"/>
      <c r="X1624" s="243"/>
      <c r="Y1624" s="243"/>
      <c r="Z1624" s="243"/>
      <c r="AA1624" s="243"/>
      <c r="AB1624" s="243"/>
      <c r="AC1624" s="243"/>
      <c r="AD1624" s="243"/>
      <c r="AE1624" s="243"/>
    </row>
    <row r="1625">
      <c r="P1625" s="242"/>
      <c r="Q1625" s="207"/>
      <c r="U1625" s="243"/>
      <c r="V1625" s="243"/>
      <c r="W1625" s="243"/>
      <c r="X1625" s="243"/>
      <c r="Y1625" s="243"/>
      <c r="Z1625" s="243"/>
      <c r="AA1625" s="243"/>
      <c r="AB1625" s="243"/>
      <c r="AC1625" s="243"/>
      <c r="AD1625" s="243"/>
      <c r="AE1625" s="243"/>
    </row>
    <row r="1626">
      <c r="P1626" s="242"/>
      <c r="Q1626" s="207"/>
      <c r="U1626" s="243"/>
      <c r="V1626" s="243"/>
      <c r="W1626" s="243"/>
      <c r="X1626" s="243"/>
      <c r="Y1626" s="243"/>
      <c r="Z1626" s="243"/>
      <c r="AA1626" s="243"/>
      <c r="AB1626" s="243"/>
      <c r="AC1626" s="243"/>
      <c r="AD1626" s="243"/>
      <c r="AE1626" s="243"/>
    </row>
    <row r="1627">
      <c r="P1627" s="242"/>
      <c r="Q1627" s="207"/>
      <c r="U1627" s="243"/>
      <c r="V1627" s="243"/>
      <c r="W1627" s="243"/>
      <c r="X1627" s="243"/>
      <c r="Y1627" s="243"/>
      <c r="Z1627" s="243"/>
      <c r="AA1627" s="243"/>
      <c r="AB1627" s="243"/>
      <c r="AC1627" s="243"/>
      <c r="AD1627" s="243"/>
      <c r="AE1627" s="243"/>
    </row>
    <row r="1628">
      <c r="P1628" s="242"/>
      <c r="Q1628" s="207"/>
      <c r="U1628" s="243"/>
      <c r="V1628" s="243"/>
      <c r="W1628" s="243"/>
      <c r="X1628" s="243"/>
      <c r="Y1628" s="243"/>
      <c r="Z1628" s="243"/>
      <c r="AA1628" s="243"/>
      <c r="AB1628" s="243"/>
      <c r="AC1628" s="243"/>
      <c r="AD1628" s="243"/>
      <c r="AE1628" s="243"/>
    </row>
    <row r="1629">
      <c r="P1629" s="242"/>
      <c r="Q1629" s="207"/>
      <c r="U1629" s="243"/>
      <c r="V1629" s="243"/>
      <c r="W1629" s="243"/>
      <c r="X1629" s="243"/>
      <c r="Y1629" s="243"/>
      <c r="Z1629" s="243"/>
      <c r="AA1629" s="243"/>
      <c r="AB1629" s="243"/>
      <c r="AC1629" s="243"/>
      <c r="AD1629" s="243"/>
      <c r="AE1629" s="243"/>
    </row>
    <row r="1630">
      <c r="P1630" s="242"/>
      <c r="Q1630" s="207"/>
      <c r="U1630" s="243"/>
      <c r="V1630" s="243"/>
      <c r="W1630" s="243"/>
      <c r="X1630" s="243"/>
      <c r="Y1630" s="243"/>
      <c r="Z1630" s="243"/>
      <c r="AA1630" s="243"/>
      <c r="AB1630" s="243"/>
      <c r="AC1630" s="243"/>
      <c r="AD1630" s="243"/>
      <c r="AE1630" s="243"/>
    </row>
    <row r="1631">
      <c r="P1631" s="242"/>
      <c r="Q1631" s="207"/>
      <c r="U1631" s="243"/>
      <c r="V1631" s="243"/>
      <c r="W1631" s="243"/>
      <c r="X1631" s="243"/>
      <c r="Y1631" s="243"/>
      <c r="Z1631" s="243"/>
      <c r="AA1631" s="243"/>
      <c r="AB1631" s="243"/>
      <c r="AC1631" s="243"/>
      <c r="AD1631" s="243"/>
      <c r="AE1631" s="243"/>
    </row>
    <row r="1632">
      <c r="P1632" s="242"/>
      <c r="Q1632" s="207"/>
      <c r="U1632" s="243"/>
      <c r="V1632" s="243"/>
      <c r="W1632" s="243"/>
      <c r="X1632" s="243"/>
      <c r="Y1632" s="243"/>
      <c r="Z1632" s="243"/>
      <c r="AA1632" s="243"/>
      <c r="AB1632" s="243"/>
      <c r="AC1632" s="243"/>
      <c r="AD1632" s="243"/>
      <c r="AE1632" s="243"/>
    </row>
    <row r="1633">
      <c r="P1633" s="242"/>
      <c r="Q1633" s="207"/>
      <c r="U1633" s="243"/>
      <c r="V1633" s="243"/>
      <c r="W1633" s="243"/>
      <c r="X1633" s="243"/>
      <c r="Y1633" s="243"/>
      <c r="Z1633" s="243"/>
      <c r="AA1633" s="243"/>
      <c r="AB1633" s="243"/>
      <c r="AC1633" s="243"/>
      <c r="AD1633" s="243"/>
      <c r="AE1633" s="243"/>
    </row>
    <row r="1634">
      <c r="P1634" s="242"/>
      <c r="Q1634" s="207"/>
      <c r="U1634" s="243"/>
      <c r="V1634" s="243"/>
      <c r="W1634" s="243"/>
      <c r="X1634" s="243"/>
      <c r="Y1634" s="243"/>
      <c r="Z1634" s="243"/>
      <c r="AA1634" s="243"/>
      <c r="AB1634" s="243"/>
      <c r="AC1634" s="243"/>
      <c r="AD1634" s="243"/>
      <c r="AE1634" s="243"/>
    </row>
    <row r="1635">
      <c r="P1635" s="242"/>
      <c r="Q1635" s="207"/>
      <c r="U1635" s="243"/>
      <c r="V1635" s="243"/>
      <c r="W1635" s="243"/>
      <c r="X1635" s="243"/>
      <c r="Y1635" s="243"/>
      <c r="Z1635" s="243"/>
      <c r="AA1635" s="243"/>
      <c r="AB1635" s="243"/>
      <c r="AC1635" s="243"/>
      <c r="AD1635" s="243"/>
      <c r="AE1635" s="243"/>
    </row>
    <row r="1636">
      <c r="P1636" s="242"/>
      <c r="Q1636" s="207"/>
      <c r="U1636" s="243"/>
      <c r="V1636" s="243"/>
      <c r="W1636" s="243"/>
      <c r="X1636" s="243"/>
      <c r="Y1636" s="243"/>
      <c r="Z1636" s="243"/>
      <c r="AA1636" s="243"/>
      <c r="AB1636" s="243"/>
      <c r="AC1636" s="243"/>
      <c r="AD1636" s="243"/>
      <c r="AE1636" s="243"/>
    </row>
    <row r="1637">
      <c r="P1637" s="242"/>
      <c r="Q1637" s="207"/>
      <c r="U1637" s="243"/>
      <c r="V1637" s="243"/>
      <c r="W1637" s="243"/>
      <c r="X1637" s="243"/>
      <c r="Y1637" s="243"/>
      <c r="Z1637" s="243"/>
      <c r="AA1637" s="243"/>
      <c r="AB1637" s="243"/>
      <c r="AC1637" s="243"/>
      <c r="AD1637" s="243"/>
      <c r="AE1637" s="243"/>
    </row>
    <row r="1638">
      <c r="P1638" s="242"/>
      <c r="Q1638" s="207"/>
      <c r="U1638" s="243"/>
      <c r="V1638" s="243"/>
      <c r="W1638" s="243"/>
      <c r="X1638" s="243"/>
      <c r="Y1638" s="243"/>
      <c r="Z1638" s="243"/>
      <c r="AA1638" s="243"/>
      <c r="AB1638" s="243"/>
      <c r="AC1638" s="243"/>
      <c r="AD1638" s="243"/>
      <c r="AE1638" s="243"/>
    </row>
    <row r="1639">
      <c r="P1639" s="242"/>
      <c r="Q1639" s="207"/>
      <c r="U1639" s="243"/>
      <c r="V1639" s="243"/>
      <c r="W1639" s="243"/>
      <c r="X1639" s="243"/>
      <c r="Y1639" s="243"/>
      <c r="Z1639" s="243"/>
      <c r="AA1639" s="243"/>
      <c r="AB1639" s="243"/>
      <c r="AC1639" s="243"/>
      <c r="AD1639" s="243"/>
      <c r="AE1639" s="243"/>
    </row>
    <row r="1640">
      <c r="P1640" s="242"/>
      <c r="Q1640" s="207"/>
      <c r="U1640" s="243"/>
      <c r="V1640" s="243"/>
      <c r="W1640" s="243"/>
      <c r="X1640" s="243"/>
      <c r="Y1640" s="243"/>
      <c r="Z1640" s="243"/>
      <c r="AA1640" s="243"/>
      <c r="AB1640" s="243"/>
      <c r="AC1640" s="243"/>
      <c r="AD1640" s="243"/>
      <c r="AE1640" s="243"/>
    </row>
    <row r="1641">
      <c r="P1641" s="242"/>
      <c r="Q1641" s="207"/>
      <c r="U1641" s="243"/>
      <c r="V1641" s="243"/>
      <c r="W1641" s="243"/>
      <c r="X1641" s="243"/>
      <c r="Y1641" s="243"/>
      <c r="Z1641" s="243"/>
      <c r="AA1641" s="243"/>
      <c r="AB1641" s="243"/>
      <c r="AC1641" s="243"/>
      <c r="AD1641" s="243"/>
      <c r="AE1641" s="243"/>
    </row>
    <row r="1642">
      <c r="P1642" s="242"/>
      <c r="Q1642" s="207"/>
      <c r="U1642" s="243"/>
      <c r="V1642" s="243"/>
      <c r="W1642" s="243"/>
      <c r="X1642" s="243"/>
      <c r="Y1642" s="243"/>
      <c r="Z1642" s="243"/>
      <c r="AA1642" s="243"/>
      <c r="AB1642" s="243"/>
      <c r="AC1642" s="243"/>
      <c r="AD1642" s="243"/>
      <c r="AE1642" s="243"/>
    </row>
    <row r="1643">
      <c r="P1643" s="242"/>
      <c r="Q1643" s="207"/>
      <c r="U1643" s="243"/>
      <c r="V1643" s="243"/>
      <c r="W1643" s="243"/>
      <c r="X1643" s="243"/>
      <c r="Y1643" s="243"/>
      <c r="Z1643" s="243"/>
      <c r="AA1643" s="243"/>
      <c r="AB1643" s="243"/>
      <c r="AC1643" s="243"/>
      <c r="AD1643" s="243"/>
      <c r="AE1643" s="243"/>
    </row>
    <row r="1644">
      <c r="P1644" s="242"/>
      <c r="Q1644" s="207"/>
      <c r="U1644" s="243"/>
      <c r="V1644" s="243"/>
      <c r="W1644" s="243"/>
      <c r="X1644" s="243"/>
      <c r="Y1644" s="243"/>
      <c r="Z1644" s="243"/>
      <c r="AA1644" s="243"/>
      <c r="AB1644" s="243"/>
      <c r="AC1644" s="243"/>
      <c r="AD1644" s="243"/>
      <c r="AE1644" s="243"/>
    </row>
    <row r="1645">
      <c r="P1645" s="242"/>
      <c r="Q1645" s="207"/>
      <c r="U1645" s="243"/>
      <c r="V1645" s="243"/>
      <c r="W1645" s="243"/>
      <c r="X1645" s="243"/>
      <c r="Y1645" s="243"/>
      <c r="Z1645" s="243"/>
      <c r="AA1645" s="243"/>
      <c r="AB1645" s="243"/>
      <c r="AC1645" s="243"/>
      <c r="AD1645" s="243"/>
      <c r="AE1645" s="243"/>
    </row>
    <row r="1646">
      <c r="P1646" s="242"/>
      <c r="Q1646" s="207"/>
      <c r="U1646" s="243"/>
      <c r="V1646" s="243"/>
      <c r="W1646" s="243"/>
      <c r="X1646" s="243"/>
      <c r="Y1646" s="243"/>
      <c r="Z1646" s="243"/>
      <c r="AA1646" s="243"/>
      <c r="AB1646" s="243"/>
      <c r="AC1646" s="243"/>
      <c r="AD1646" s="243"/>
      <c r="AE1646" s="243"/>
    </row>
    <row r="1647">
      <c r="P1647" s="242"/>
      <c r="Q1647" s="207"/>
      <c r="U1647" s="243"/>
      <c r="V1647" s="243"/>
      <c r="W1647" s="243"/>
      <c r="X1647" s="243"/>
      <c r="Y1647" s="243"/>
      <c r="Z1647" s="243"/>
      <c r="AA1647" s="243"/>
      <c r="AB1647" s="243"/>
      <c r="AC1647" s="243"/>
      <c r="AD1647" s="243"/>
      <c r="AE1647" s="243"/>
    </row>
    <row r="1648">
      <c r="P1648" s="242"/>
      <c r="Q1648" s="207"/>
      <c r="U1648" s="243"/>
      <c r="V1648" s="243"/>
      <c r="W1648" s="243"/>
      <c r="X1648" s="243"/>
      <c r="Y1648" s="243"/>
      <c r="Z1648" s="243"/>
      <c r="AA1648" s="243"/>
      <c r="AB1648" s="243"/>
      <c r="AC1648" s="243"/>
      <c r="AD1648" s="243"/>
      <c r="AE1648" s="243"/>
    </row>
    <row r="1649">
      <c r="P1649" s="242"/>
      <c r="Q1649" s="207"/>
      <c r="U1649" s="243"/>
      <c r="V1649" s="243"/>
      <c r="W1649" s="243"/>
      <c r="X1649" s="243"/>
      <c r="Y1649" s="243"/>
      <c r="Z1649" s="243"/>
      <c r="AA1649" s="243"/>
      <c r="AB1649" s="243"/>
      <c r="AC1649" s="243"/>
      <c r="AD1649" s="243"/>
      <c r="AE1649" s="243"/>
    </row>
    <row r="1650">
      <c r="P1650" s="242"/>
      <c r="Q1650" s="207"/>
      <c r="U1650" s="243"/>
      <c r="V1650" s="243"/>
      <c r="W1650" s="243"/>
      <c r="X1650" s="243"/>
      <c r="Y1650" s="243"/>
      <c r="Z1650" s="243"/>
      <c r="AA1650" s="243"/>
      <c r="AB1650" s="243"/>
      <c r="AC1650" s="243"/>
      <c r="AD1650" s="243"/>
      <c r="AE1650" s="243"/>
    </row>
    <row r="1651">
      <c r="P1651" s="242"/>
      <c r="Q1651" s="207"/>
      <c r="U1651" s="243"/>
      <c r="V1651" s="243"/>
      <c r="W1651" s="243"/>
      <c r="X1651" s="243"/>
      <c r="Y1651" s="243"/>
      <c r="Z1651" s="243"/>
      <c r="AA1651" s="243"/>
      <c r="AB1651" s="243"/>
      <c r="AC1651" s="243"/>
      <c r="AD1651" s="243"/>
      <c r="AE1651" s="243"/>
    </row>
    <row r="1652">
      <c r="P1652" s="242"/>
      <c r="Q1652" s="207"/>
      <c r="U1652" s="243"/>
      <c r="V1652" s="243"/>
      <c r="W1652" s="243"/>
      <c r="X1652" s="243"/>
      <c r="Y1652" s="243"/>
      <c r="Z1652" s="243"/>
      <c r="AA1652" s="243"/>
      <c r="AB1652" s="243"/>
      <c r="AC1652" s="243"/>
      <c r="AD1652" s="243"/>
      <c r="AE1652" s="243"/>
    </row>
    <row r="1653">
      <c r="P1653" s="242"/>
      <c r="Q1653" s="207"/>
      <c r="U1653" s="243"/>
      <c r="V1653" s="243"/>
      <c r="W1653" s="243"/>
      <c r="X1653" s="243"/>
      <c r="Y1653" s="243"/>
      <c r="Z1653" s="243"/>
      <c r="AA1653" s="243"/>
      <c r="AB1653" s="243"/>
      <c r="AC1653" s="243"/>
      <c r="AD1653" s="243"/>
      <c r="AE1653" s="243"/>
    </row>
    <row r="1654">
      <c r="P1654" s="242"/>
      <c r="Q1654" s="207"/>
      <c r="U1654" s="243"/>
      <c r="V1654" s="243"/>
      <c r="W1654" s="243"/>
      <c r="X1654" s="243"/>
      <c r="Y1654" s="243"/>
      <c r="Z1654" s="243"/>
      <c r="AA1654" s="243"/>
      <c r="AB1654" s="243"/>
      <c r="AC1654" s="243"/>
      <c r="AD1654" s="243"/>
      <c r="AE1654" s="243"/>
    </row>
    <row r="1655">
      <c r="P1655" s="242"/>
      <c r="Q1655" s="207"/>
      <c r="U1655" s="243"/>
      <c r="V1655" s="243"/>
      <c r="W1655" s="243"/>
      <c r="X1655" s="243"/>
      <c r="Y1655" s="243"/>
      <c r="Z1655" s="243"/>
      <c r="AA1655" s="243"/>
      <c r="AB1655" s="243"/>
      <c r="AC1655" s="243"/>
      <c r="AD1655" s="243"/>
      <c r="AE1655" s="243"/>
    </row>
    <row r="1656">
      <c r="P1656" s="242"/>
      <c r="Q1656" s="207"/>
      <c r="U1656" s="243"/>
      <c r="V1656" s="243"/>
      <c r="W1656" s="243"/>
      <c r="X1656" s="243"/>
      <c r="Y1656" s="243"/>
      <c r="Z1656" s="243"/>
      <c r="AA1656" s="243"/>
      <c r="AB1656" s="243"/>
      <c r="AC1656" s="243"/>
      <c r="AD1656" s="243"/>
      <c r="AE1656" s="243"/>
    </row>
    <row r="1657">
      <c r="P1657" s="242"/>
      <c r="Q1657" s="207"/>
      <c r="U1657" s="243"/>
      <c r="V1657" s="243"/>
      <c r="W1657" s="243"/>
      <c r="X1657" s="243"/>
      <c r="Y1657" s="243"/>
      <c r="Z1657" s="243"/>
      <c r="AA1657" s="243"/>
      <c r="AB1657" s="243"/>
      <c r="AC1657" s="243"/>
      <c r="AD1657" s="243"/>
      <c r="AE1657" s="243"/>
    </row>
    <row r="1658">
      <c r="P1658" s="242"/>
      <c r="Q1658" s="207"/>
      <c r="U1658" s="243"/>
      <c r="V1658" s="243"/>
      <c r="W1658" s="243"/>
      <c r="X1658" s="243"/>
      <c r="Y1658" s="243"/>
      <c r="Z1658" s="243"/>
      <c r="AA1658" s="243"/>
      <c r="AB1658" s="243"/>
      <c r="AC1658" s="243"/>
      <c r="AD1658" s="243"/>
      <c r="AE1658" s="243"/>
    </row>
    <row r="1659">
      <c r="P1659" s="242"/>
      <c r="Q1659" s="207"/>
      <c r="U1659" s="243"/>
      <c r="V1659" s="243"/>
      <c r="W1659" s="243"/>
      <c r="X1659" s="243"/>
      <c r="Y1659" s="243"/>
      <c r="Z1659" s="243"/>
      <c r="AA1659" s="243"/>
      <c r="AB1659" s="243"/>
      <c r="AC1659" s="243"/>
      <c r="AD1659" s="243"/>
      <c r="AE1659" s="243"/>
    </row>
    <row r="1660">
      <c r="P1660" s="242"/>
      <c r="Q1660" s="207"/>
      <c r="U1660" s="243"/>
      <c r="V1660" s="243"/>
      <c r="W1660" s="243"/>
      <c r="X1660" s="243"/>
      <c r="Y1660" s="243"/>
      <c r="Z1660" s="243"/>
      <c r="AA1660" s="243"/>
      <c r="AB1660" s="243"/>
      <c r="AC1660" s="243"/>
      <c r="AD1660" s="243"/>
      <c r="AE1660" s="243"/>
    </row>
    <row r="1661">
      <c r="P1661" s="242"/>
      <c r="Q1661" s="207"/>
      <c r="U1661" s="243"/>
      <c r="V1661" s="243"/>
      <c r="W1661" s="243"/>
      <c r="X1661" s="243"/>
      <c r="Y1661" s="243"/>
      <c r="Z1661" s="243"/>
      <c r="AA1661" s="243"/>
      <c r="AB1661" s="243"/>
      <c r="AC1661" s="243"/>
      <c r="AD1661" s="243"/>
      <c r="AE1661" s="243"/>
    </row>
    <row r="1662">
      <c r="P1662" s="242"/>
      <c r="Q1662" s="207"/>
      <c r="U1662" s="243"/>
      <c r="V1662" s="243"/>
      <c r="W1662" s="243"/>
      <c r="X1662" s="243"/>
      <c r="Y1662" s="243"/>
      <c r="Z1662" s="243"/>
      <c r="AA1662" s="243"/>
      <c r="AB1662" s="243"/>
      <c r="AC1662" s="243"/>
      <c r="AD1662" s="243"/>
      <c r="AE1662" s="243"/>
    </row>
    <row r="1663">
      <c r="P1663" s="242"/>
      <c r="Q1663" s="207"/>
      <c r="U1663" s="243"/>
      <c r="V1663" s="243"/>
      <c r="W1663" s="243"/>
      <c r="X1663" s="243"/>
      <c r="Y1663" s="243"/>
      <c r="Z1663" s="243"/>
      <c r="AA1663" s="243"/>
      <c r="AB1663" s="243"/>
      <c r="AC1663" s="243"/>
      <c r="AD1663" s="243"/>
      <c r="AE1663" s="243"/>
    </row>
    <row r="1664">
      <c r="P1664" s="242"/>
      <c r="Q1664" s="207"/>
      <c r="U1664" s="243"/>
      <c r="V1664" s="243"/>
      <c r="W1664" s="243"/>
      <c r="X1664" s="243"/>
      <c r="Y1664" s="243"/>
      <c r="Z1664" s="243"/>
      <c r="AA1664" s="243"/>
      <c r="AB1664" s="243"/>
      <c r="AC1664" s="243"/>
      <c r="AD1664" s="243"/>
      <c r="AE1664" s="243"/>
    </row>
    <row r="1665">
      <c r="P1665" s="242"/>
      <c r="Q1665" s="207"/>
      <c r="U1665" s="243"/>
      <c r="V1665" s="243"/>
      <c r="W1665" s="243"/>
      <c r="X1665" s="243"/>
      <c r="Y1665" s="243"/>
      <c r="Z1665" s="243"/>
      <c r="AA1665" s="243"/>
      <c r="AB1665" s="243"/>
      <c r="AC1665" s="243"/>
      <c r="AD1665" s="243"/>
      <c r="AE1665" s="243"/>
    </row>
    <row r="1666">
      <c r="P1666" s="242"/>
      <c r="Q1666" s="207"/>
      <c r="U1666" s="243"/>
      <c r="V1666" s="243"/>
      <c r="W1666" s="243"/>
      <c r="X1666" s="243"/>
      <c r="Y1666" s="243"/>
      <c r="Z1666" s="243"/>
      <c r="AA1666" s="243"/>
      <c r="AB1666" s="243"/>
      <c r="AC1666" s="243"/>
      <c r="AD1666" s="243"/>
      <c r="AE1666" s="243"/>
    </row>
    <row r="1667">
      <c r="P1667" s="242"/>
      <c r="Q1667" s="207"/>
      <c r="U1667" s="243"/>
      <c r="V1667" s="243"/>
      <c r="W1667" s="243"/>
      <c r="X1667" s="243"/>
      <c r="Y1667" s="243"/>
      <c r="Z1667" s="243"/>
      <c r="AA1667" s="243"/>
      <c r="AB1667" s="243"/>
      <c r="AC1667" s="243"/>
      <c r="AD1667" s="243"/>
      <c r="AE1667" s="243"/>
    </row>
    <row r="1668">
      <c r="P1668" s="242"/>
      <c r="Q1668" s="207"/>
      <c r="U1668" s="243"/>
      <c r="V1668" s="243"/>
      <c r="W1668" s="243"/>
      <c r="X1668" s="243"/>
      <c r="Y1668" s="243"/>
      <c r="Z1668" s="243"/>
      <c r="AA1668" s="243"/>
      <c r="AB1668" s="243"/>
      <c r="AC1668" s="243"/>
      <c r="AD1668" s="243"/>
      <c r="AE1668" s="243"/>
    </row>
    <row r="1669">
      <c r="P1669" s="242"/>
      <c r="Q1669" s="207"/>
      <c r="U1669" s="243"/>
      <c r="V1669" s="243"/>
      <c r="W1669" s="243"/>
      <c r="X1669" s="243"/>
      <c r="Y1669" s="243"/>
      <c r="Z1669" s="243"/>
      <c r="AA1669" s="243"/>
      <c r="AB1669" s="243"/>
      <c r="AC1669" s="243"/>
      <c r="AD1669" s="243"/>
      <c r="AE1669" s="243"/>
    </row>
    <row r="1670">
      <c r="P1670" s="242"/>
      <c r="Q1670" s="207"/>
      <c r="U1670" s="243"/>
      <c r="V1670" s="243"/>
      <c r="W1670" s="243"/>
      <c r="X1670" s="243"/>
      <c r="Y1670" s="243"/>
      <c r="Z1670" s="243"/>
      <c r="AA1670" s="243"/>
      <c r="AB1670" s="243"/>
      <c r="AC1670" s="243"/>
      <c r="AD1670" s="243"/>
      <c r="AE1670" s="243"/>
    </row>
    <row r="1671">
      <c r="P1671" s="242"/>
      <c r="Q1671" s="207"/>
      <c r="U1671" s="243"/>
      <c r="V1671" s="243"/>
      <c r="W1671" s="243"/>
      <c r="X1671" s="243"/>
      <c r="Y1671" s="243"/>
      <c r="Z1671" s="243"/>
      <c r="AA1671" s="243"/>
      <c r="AB1671" s="243"/>
      <c r="AC1671" s="243"/>
      <c r="AD1671" s="243"/>
      <c r="AE1671" s="243"/>
    </row>
    <row r="1672">
      <c r="P1672" s="242"/>
      <c r="Q1672" s="207"/>
      <c r="U1672" s="243"/>
      <c r="V1672" s="243"/>
      <c r="W1672" s="243"/>
      <c r="X1672" s="243"/>
      <c r="Y1672" s="243"/>
      <c r="Z1672" s="243"/>
      <c r="AA1672" s="243"/>
      <c r="AB1672" s="243"/>
      <c r="AC1672" s="243"/>
      <c r="AD1672" s="243"/>
      <c r="AE1672" s="243"/>
    </row>
    <row r="1673">
      <c r="P1673" s="242"/>
      <c r="Q1673" s="207"/>
      <c r="U1673" s="243"/>
      <c r="V1673" s="243"/>
      <c r="W1673" s="243"/>
      <c r="X1673" s="243"/>
      <c r="Y1673" s="243"/>
      <c r="Z1673" s="243"/>
      <c r="AA1673" s="243"/>
      <c r="AB1673" s="243"/>
      <c r="AC1673" s="243"/>
      <c r="AD1673" s="243"/>
      <c r="AE1673" s="243"/>
    </row>
    <row r="1674">
      <c r="P1674" s="242"/>
      <c r="Q1674" s="207"/>
      <c r="U1674" s="243"/>
      <c r="V1674" s="243"/>
      <c r="W1674" s="243"/>
      <c r="X1674" s="243"/>
      <c r="Y1674" s="243"/>
      <c r="Z1674" s="243"/>
      <c r="AA1674" s="243"/>
      <c r="AB1674" s="243"/>
      <c r="AC1674" s="243"/>
      <c r="AD1674" s="243"/>
      <c r="AE1674" s="243"/>
    </row>
    <row r="1675">
      <c r="P1675" s="242"/>
      <c r="Q1675" s="207"/>
      <c r="U1675" s="243"/>
      <c r="V1675" s="243"/>
      <c r="W1675" s="243"/>
      <c r="X1675" s="243"/>
      <c r="Y1675" s="243"/>
      <c r="Z1675" s="243"/>
      <c r="AA1675" s="243"/>
      <c r="AB1675" s="243"/>
      <c r="AC1675" s="243"/>
      <c r="AD1675" s="243"/>
      <c r="AE1675" s="243"/>
    </row>
    <row r="1676">
      <c r="P1676" s="242"/>
      <c r="Q1676" s="207"/>
      <c r="U1676" s="243"/>
      <c r="V1676" s="243"/>
      <c r="W1676" s="243"/>
      <c r="X1676" s="243"/>
      <c r="Y1676" s="243"/>
      <c r="Z1676" s="243"/>
      <c r="AA1676" s="243"/>
      <c r="AB1676" s="243"/>
      <c r="AC1676" s="243"/>
      <c r="AD1676" s="243"/>
      <c r="AE1676" s="243"/>
    </row>
    <row r="1677">
      <c r="P1677" s="242"/>
      <c r="Q1677" s="207"/>
      <c r="U1677" s="243"/>
      <c r="V1677" s="243"/>
      <c r="W1677" s="243"/>
      <c r="X1677" s="243"/>
      <c r="Y1677" s="243"/>
      <c r="Z1677" s="243"/>
      <c r="AA1677" s="243"/>
      <c r="AB1677" s="243"/>
      <c r="AC1677" s="243"/>
      <c r="AD1677" s="243"/>
      <c r="AE1677" s="243"/>
    </row>
    <row r="1678">
      <c r="P1678" s="242"/>
      <c r="Q1678" s="207"/>
      <c r="U1678" s="243"/>
      <c r="V1678" s="243"/>
      <c r="W1678" s="243"/>
      <c r="X1678" s="243"/>
      <c r="Y1678" s="243"/>
      <c r="Z1678" s="243"/>
      <c r="AA1678" s="243"/>
      <c r="AB1678" s="243"/>
      <c r="AC1678" s="243"/>
      <c r="AD1678" s="243"/>
      <c r="AE1678" s="243"/>
    </row>
    <row r="1679">
      <c r="P1679" s="242"/>
      <c r="Q1679" s="207"/>
      <c r="U1679" s="243"/>
      <c r="V1679" s="243"/>
      <c r="W1679" s="243"/>
      <c r="X1679" s="243"/>
      <c r="Y1679" s="243"/>
      <c r="Z1679" s="243"/>
      <c r="AA1679" s="243"/>
      <c r="AB1679" s="243"/>
      <c r="AC1679" s="243"/>
      <c r="AD1679" s="243"/>
      <c r="AE1679" s="243"/>
    </row>
    <row r="1680">
      <c r="P1680" s="242"/>
      <c r="Q1680" s="207"/>
      <c r="U1680" s="243"/>
      <c r="V1680" s="243"/>
      <c r="W1680" s="243"/>
      <c r="X1680" s="243"/>
      <c r="Y1680" s="243"/>
      <c r="Z1680" s="243"/>
      <c r="AA1680" s="243"/>
      <c r="AB1680" s="243"/>
      <c r="AC1680" s="243"/>
      <c r="AD1680" s="243"/>
      <c r="AE1680" s="243"/>
    </row>
    <row r="1681">
      <c r="P1681" s="242"/>
      <c r="Q1681" s="207"/>
      <c r="U1681" s="243"/>
      <c r="V1681" s="243"/>
      <c r="W1681" s="243"/>
      <c r="X1681" s="243"/>
      <c r="Y1681" s="243"/>
      <c r="Z1681" s="243"/>
      <c r="AA1681" s="243"/>
      <c r="AB1681" s="243"/>
      <c r="AC1681" s="243"/>
      <c r="AD1681" s="243"/>
      <c r="AE1681" s="243"/>
    </row>
    <row r="1682">
      <c r="P1682" s="242"/>
      <c r="Q1682" s="207"/>
      <c r="U1682" s="243"/>
      <c r="V1682" s="243"/>
      <c r="W1682" s="243"/>
      <c r="X1682" s="243"/>
      <c r="Y1682" s="243"/>
      <c r="Z1682" s="243"/>
      <c r="AA1682" s="243"/>
      <c r="AB1682" s="243"/>
      <c r="AC1682" s="243"/>
      <c r="AD1682" s="243"/>
      <c r="AE1682" s="243"/>
    </row>
    <row r="1683">
      <c r="P1683" s="242"/>
      <c r="Q1683" s="207"/>
      <c r="U1683" s="243"/>
      <c r="V1683" s="243"/>
      <c r="W1683" s="243"/>
      <c r="X1683" s="243"/>
      <c r="Y1683" s="243"/>
      <c r="Z1683" s="243"/>
      <c r="AA1683" s="243"/>
      <c r="AB1683" s="243"/>
      <c r="AC1683" s="243"/>
      <c r="AD1683" s="243"/>
      <c r="AE1683" s="243"/>
    </row>
    <row r="1684">
      <c r="P1684" s="242"/>
      <c r="Q1684" s="207"/>
      <c r="U1684" s="243"/>
      <c r="V1684" s="243"/>
      <c r="W1684" s="243"/>
      <c r="X1684" s="243"/>
      <c r="Y1684" s="243"/>
      <c r="Z1684" s="243"/>
      <c r="AA1684" s="243"/>
      <c r="AB1684" s="243"/>
      <c r="AC1684" s="243"/>
      <c r="AD1684" s="243"/>
      <c r="AE1684" s="243"/>
    </row>
    <row r="1685">
      <c r="P1685" s="242"/>
      <c r="Q1685" s="207"/>
      <c r="U1685" s="243"/>
      <c r="V1685" s="243"/>
      <c r="W1685" s="243"/>
      <c r="X1685" s="243"/>
      <c r="Y1685" s="243"/>
      <c r="Z1685" s="243"/>
      <c r="AA1685" s="243"/>
      <c r="AB1685" s="243"/>
      <c r="AC1685" s="243"/>
      <c r="AD1685" s="243"/>
      <c r="AE1685" s="243"/>
    </row>
    <row r="1686">
      <c r="P1686" s="242"/>
      <c r="Q1686" s="207"/>
      <c r="U1686" s="243"/>
      <c r="V1686" s="243"/>
      <c r="W1686" s="243"/>
      <c r="X1686" s="243"/>
      <c r="Y1686" s="243"/>
      <c r="Z1686" s="243"/>
      <c r="AA1686" s="243"/>
      <c r="AB1686" s="243"/>
      <c r="AC1686" s="243"/>
      <c r="AD1686" s="243"/>
      <c r="AE1686" s="243"/>
    </row>
    <row r="1687">
      <c r="P1687" s="242"/>
      <c r="Q1687" s="207"/>
      <c r="U1687" s="243"/>
      <c r="V1687" s="243"/>
      <c r="W1687" s="243"/>
      <c r="X1687" s="243"/>
      <c r="Y1687" s="243"/>
      <c r="Z1687" s="243"/>
      <c r="AA1687" s="243"/>
      <c r="AB1687" s="243"/>
      <c r="AC1687" s="243"/>
      <c r="AD1687" s="243"/>
      <c r="AE1687" s="243"/>
    </row>
    <row r="1688">
      <c r="P1688" s="242"/>
      <c r="Q1688" s="207"/>
      <c r="U1688" s="243"/>
      <c r="V1688" s="243"/>
      <c r="W1688" s="243"/>
      <c r="X1688" s="243"/>
      <c r="Y1688" s="243"/>
      <c r="Z1688" s="243"/>
      <c r="AA1688" s="243"/>
      <c r="AB1688" s="243"/>
      <c r="AC1688" s="243"/>
      <c r="AD1688" s="243"/>
      <c r="AE1688" s="243"/>
    </row>
    <row r="1689">
      <c r="P1689" s="242"/>
      <c r="Q1689" s="207"/>
      <c r="U1689" s="243"/>
      <c r="V1689" s="243"/>
      <c r="W1689" s="243"/>
      <c r="X1689" s="243"/>
      <c r="Y1689" s="243"/>
      <c r="Z1689" s="243"/>
      <c r="AA1689" s="243"/>
      <c r="AB1689" s="243"/>
      <c r="AC1689" s="243"/>
      <c r="AD1689" s="243"/>
      <c r="AE1689" s="243"/>
    </row>
    <row r="1690">
      <c r="P1690" s="242"/>
      <c r="Q1690" s="207"/>
      <c r="U1690" s="243"/>
      <c r="V1690" s="243"/>
      <c r="W1690" s="243"/>
      <c r="X1690" s="243"/>
      <c r="Y1690" s="243"/>
      <c r="Z1690" s="243"/>
      <c r="AA1690" s="243"/>
      <c r="AB1690" s="243"/>
      <c r="AC1690" s="243"/>
      <c r="AD1690" s="243"/>
      <c r="AE1690" s="243"/>
    </row>
    <row r="1691">
      <c r="P1691" s="242"/>
      <c r="Q1691" s="207"/>
      <c r="U1691" s="243"/>
      <c r="V1691" s="243"/>
      <c r="W1691" s="243"/>
      <c r="X1691" s="243"/>
      <c r="Y1691" s="243"/>
      <c r="Z1691" s="243"/>
      <c r="AA1691" s="243"/>
      <c r="AB1691" s="243"/>
      <c r="AC1691" s="243"/>
      <c r="AD1691" s="243"/>
      <c r="AE1691" s="243"/>
    </row>
    <row r="1692">
      <c r="P1692" s="242"/>
      <c r="Q1692" s="207"/>
      <c r="U1692" s="243"/>
      <c r="V1692" s="243"/>
      <c r="W1692" s="243"/>
      <c r="X1692" s="243"/>
      <c r="Y1692" s="243"/>
      <c r="Z1692" s="243"/>
      <c r="AA1692" s="243"/>
      <c r="AB1692" s="243"/>
      <c r="AC1692" s="243"/>
      <c r="AD1692" s="243"/>
      <c r="AE1692" s="243"/>
    </row>
    <row r="1693">
      <c r="P1693" s="242"/>
      <c r="Q1693" s="207"/>
      <c r="U1693" s="243"/>
      <c r="V1693" s="243"/>
      <c r="W1693" s="243"/>
      <c r="X1693" s="243"/>
      <c r="Y1693" s="243"/>
      <c r="Z1693" s="243"/>
      <c r="AA1693" s="243"/>
      <c r="AB1693" s="243"/>
      <c r="AC1693" s="243"/>
      <c r="AD1693" s="243"/>
      <c r="AE1693" s="243"/>
    </row>
    <row r="1694">
      <c r="P1694" s="242"/>
      <c r="Q1694" s="207"/>
      <c r="U1694" s="243"/>
      <c r="V1694" s="243"/>
      <c r="W1694" s="243"/>
      <c r="X1694" s="243"/>
      <c r="Y1694" s="243"/>
      <c r="Z1694" s="243"/>
      <c r="AA1694" s="243"/>
      <c r="AB1694" s="243"/>
      <c r="AC1694" s="243"/>
      <c r="AD1694" s="243"/>
      <c r="AE1694" s="243"/>
    </row>
    <row r="1695">
      <c r="P1695" s="242"/>
      <c r="Q1695" s="207"/>
      <c r="U1695" s="243"/>
      <c r="V1695" s="243"/>
      <c r="W1695" s="243"/>
      <c r="X1695" s="243"/>
      <c r="Y1695" s="243"/>
      <c r="Z1695" s="243"/>
      <c r="AA1695" s="243"/>
      <c r="AB1695" s="243"/>
      <c r="AC1695" s="243"/>
      <c r="AD1695" s="243"/>
      <c r="AE1695" s="243"/>
    </row>
    <row r="1696">
      <c r="P1696" s="242"/>
      <c r="Q1696" s="207"/>
      <c r="U1696" s="243"/>
      <c r="V1696" s="243"/>
      <c r="W1696" s="243"/>
      <c r="X1696" s="243"/>
      <c r="Y1696" s="243"/>
      <c r="Z1696" s="243"/>
      <c r="AA1696" s="243"/>
      <c r="AB1696" s="243"/>
      <c r="AC1696" s="243"/>
      <c r="AD1696" s="243"/>
      <c r="AE1696" s="243"/>
    </row>
    <row r="1697">
      <c r="P1697" s="242"/>
      <c r="Q1697" s="207"/>
      <c r="U1697" s="243"/>
      <c r="V1697" s="243"/>
      <c r="W1697" s="243"/>
      <c r="X1697" s="243"/>
      <c r="Y1697" s="243"/>
      <c r="Z1697" s="243"/>
      <c r="AA1697" s="243"/>
      <c r="AB1697" s="243"/>
      <c r="AC1697" s="243"/>
      <c r="AD1697" s="243"/>
      <c r="AE1697" s="243"/>
    </row>
    <row r="1698">
      <c r="P1698" s="242"/>
      <c r="Q1698" s="207"/>
      <c r="U1698" s="243"/>
      <c r="V1698" s="243"/>
      <c r="W1698" s="243"/>
      <c r="X1698" s="243"/>
      <c r="Y1698" s="243"/>
      <c r="Z1698" s="243"/>
      <c r="AA1698" s="243"/>
      <c r="AB1698" s="243"/>
      <c r="AC1698" s="243"/>
      <c r="AD1698" s="243"/>
      <c r="AE1698" s="243"/>
    </row>
    <row r="1699">
      <c r="P1699" s="242"/>
      <c r="Q1699" s="207"/>
      <c r="U1699" s="243"/>
      <c r="V1699" s="243"/>
      <c r="W1699" s="243"/>
      <c r="X1699" s="243"/>
      <c r="Y1699" s="243"/>
      <c r="Z1699" s="243"/>
      <c r="AA1699" s="243"/>
      <c r="AB1699" s="243"/>
      <c r="AC1699" s="243"/>
      <c r="AD1699" s="243"/>
      <c r="AE1699" s="243"/>
    </row>
    <row r="1700">
      <c r="P1700" s="242"/>
      <c r="Q1700" s="207"/>
      <c r="U1700" s="243"/>
      <c r="V1700" s="243"/>
      <c r="W1700" s="243"/>
      <c r="X1700" s="243"/>
      <c r="Y1700" s="243"/>
      <c r="Z1700" s="243"/>
      <c r="AA1700" s="243"/>
      <c r="AB1700" s="243"/>
      <c r="AC1700" s="243"/>
      <c r="AD1700" s="243"/>
      <c r="AE1700" s="243"/>
    </row>
    <row r="1701">
      <c r="P1701" s="242"/>
      <c r="Q1701" s="207"/>
      <c r="U1701" s="243"/>
      <c r="V1701" s="243"/>
      <c r="W1701" s="243"/>
      <c r="X1701" s="243"/>
      <c r="Y1701" s="243"/>
      <c r="Z1701" s="243"/>
      <c r="AA1701" s="243"/>
      <c r="AB1701" s="243"/>
      <c r="AC1701" s="243"/>
      <c r="AD1701" s="243"/>
      <c r="AE1701" s="243"/>
    </row>
    <row r="1702">
      <c r="P1702" s="242"/>
      <c r="Q1702" s="207"/>
      <c r="U1702" s="243"/>
      <c r="V1702" s="243"/>
      <c r="W1702" s="243"/>
      <c r="X1702" s="243"/>
      <c r="Y1702" s="243"/>
      <c r="Z1702" s="243"/>
      <c r="AA1702" s="243"/>
      <c r="AB1702" s="243"/>
      <c r="AC1702" s="243"/>
      <c r="AD1702" s="243"/>
      <c r="AE1702" s="243"/>
    </row>
    <row r="1703">
      <c r="P1703" s="242"/>
      <c r="Q1703" s="207"/>
      <c r="U1703" s="243"/>
      <c r="V1703" s="243"/>
      <c r="W1703" s="243"/>
      <c r="X1703" s="243"/>
      <c r="Y1703" s="243"/>
      <c r="Z1703" s="243"/>
      <c r="AA1703" s="243"/>
      <c r="AB1703" s="243"/>
      <c r="AC1703" s="243"/>
      <c r="AD1703" s="243"/>
      <c r="AE1703" s="243"/>
    </row>
    <row r="1704">
      <c r="P1704" s="242"/>
      <c r="Q1704" s="207"/>
      <c r="U1704" s="243"/>
      <c r="V1704" s="243"/>
      <c r="W1704" s="243"/>
      <c r="X1704" s="243"/>
      <c r="Y1704" s="243"/>
      <c r="Z1704" s="243"/>
      <c r="AA1704" s="243"/>
      <c r="AB1704" s="243"/>
      <c r="AC1704" s="243"/>
      <c r="AD1704" s="243"/>
      <c r="AE1704" s="243"/>
    </row>
    <row r="1705">
      <c r="P1705" s="242"/>
      <c r="Q1705" s="207"/>
      <c r="U1705" s="243"/>
      <c r="V1705" s="243"/>
      <c r="W1705" s="243"/>
      <c r="X1705" s="243"/>
      <c r="Y1705" s="243"/>
      <c r="Z1705" s="243"/>
      <c r="AA1705" s="243"/>
      <c r="AB1705" s="243"/>
      <c r="AC1705" s="243"/>
      <c r="AD1705" s="243"/>
      <c r="AE1705" s="243"/>
    </row>
    <row r="1706">
      <c r="P1706" s="242"/>
      <c r="Q1706" s="207"/>
      <c r="U1706" s="243"/>
      <c r="V1706" s="243"/>
      <c r="W1706" s="243"/>
      <c r="X1706" s="243"/>
      <c r="Y1706" s="243"/>
      <c r="Z1706" s="243"/>
      <c r="AA1706" s="243"/>
      <c r="AB1706" s="243"/>
      <c r="AC1706" s="243"/>
      <c r="AD1706" s="243"/>
      <c r="AE1706" s="243"/>
    </row>
    <row r="1707">
      <c r="P1707" s="242"/>
      <c r="Q1707" s="207"/>
      <c r="U1707" s="243"/>
      <c r="V1707" s="243"/>
      <c r="W1707" s="243"/>
      <c r="X1707" s="243"/>
      <c r="Y1707" s="243"/>
      <c r="Z1707" s="243"/>
      <c r="AA1707" s="243"/>
      <c r="AB1707" s="243"/>
      <c r="AC1707" s="243"/>
      <c r="AD1707" s="243"/>
      <c r="AE1707" s="243"/>
    </row>
    <row r="1708">
      <c r="P1708" s="242"/>
      <c r="Q1708" s="207"/>
      <c r="U1708" s="243"/>
      <c r="V1708" s="243"/>
      <c r="W1708" s="243"/>
      <c r="X1708" s="243"/>
      <c r="Y1708" s="243"/>
      <c r="Z1708" s="243"/>
      <c r="AA1708" s="243"/>
      <c r="AB1708" s="243"/>
      <c r="AC1708" s="243"/>
      <c r="AD1708" s="243"/>
      <c r="AE1708" s="243"/>
    </row>
    <row r="1709">
      <c r="P1709" s="242"/>
      <c r="Q1709" s="207"/>
      <c r="U1709" s="243"/>
      <c r="V1709" s="243"/>
      <c r="W1709" s="243"/>
      <c r="X1709" s="243"/>
      <c r="Y1709" s="243"/>
      <c r="Z1709" s="243"/>
      <c r="AA1709" s="243"/>
      <c r="AB1709" s="243"/>
      <c r="AC1709" s="243"/>
      <c r="AD1709" s="243"/>
      <c r="AE1709" s="243"/>
    </row>
    <row r="1710">
      <c r="P1710" s="242"/>
      <c r="Q1710" s="207"/>
      <c r="U1710" s="243"/>
      <c r="V1710" s="243"/>
      <c r="W1710" s="243"/>
      <c r="X1710" s="243"/>
      <c r="Y1710" s="243"/>
      <c r="Z1710" s="243"/>
      <c r="AA1710" s="243"/>
      <c r="AB1710" s="243"/>
      <c r="AC1710" s="243"/>
      <c r="AD1710" s="243"/>
      <c r="AE1710" s="243"/>
    </row>
    <row r="1711">
      <c r="P1711" s="242"/>
      <c r="Q1711" s="207"/>
      <c r="U1711" s="243"/>
      <c r="V1711" s="243"/>
      <c r="W1711" s="243"/>
      <c r="X1711" s="243"/>
      <c r="Y1711" s="243"/>
      <c r="Z1711" s="243"/>
      <c r="AA1711" s="243"/>
      <c r="AB1711" s="243"/>
      <c r="AC1711" s="243"/>
      <c r="AD1711" s="243"/>
      <c r="AE1711" s="243"/>
    </row>
    <row r="1712">
      <c r="P1712" s="242"/>
      <c r="Q1712" s="207"/>
      <c r="U1712" s="243"/>
      <c r="V1712" s="243"/>
      <c r="W1712" s="243"/>
      <c r="X1712" s="243"/>
      <c r="Y1712" s="243"/>
      <c r="Z1712" s="243"/>
      <c r="AA1712" s="243"/>
      <c r="AB1712" s="243"/>
      <c r="AC1712" s="243"/>
      <c r="AD1712" s="243"/>
      <c r="AE1712" s="243"/>
    </row>
    <row r="1713">
      <c r="P1713" s="242"/>
      <c r="Q1713" s="207"/>
      <c r="U1713" s="243"/>
      <c r="V1713" s="243"/>
      <c r="W1713" s="243"/>
      <c r="X1713" s="243"/>
      <c r="Y1713" s="243"/>
      <c r="Z1713" s="243"/>
      <c r="AA1713" s="243"/>
      <c r="AB1713" s="243"/>
      <c r="AC1713" s="243"/>
      <c r="AD1713" s="243"/>
      <c r="AE1713" s="243"/>
    </row>
    <row r="1714">
      <c r="P1714" s="242"/>
      <c r="Q1714" s="207"/>
      <c r="U1714" s="243"/>
      <c r="V1714" s="243"/>
      <c r="W1714" s="243"/>
      <c r="X1714" s="243"/>
      <c r="Y1714" s="243"/>
      <c r="Z1714" s="243"/>
      <c r="AA1714" s="243"/>
      <c r="AB1714" s="243"/>
      <c r="AC1714" s="243"/>
      <c r="AD1714" s="243"/>
      <c r="AE1714" s="243"/>
    </row>
    <row r="1715">
      <c r="P1715" s="242"/>
      <c r="Q1715" s="207"/>
      <c r="U1715" s="243"/>
      <c r="V1715" s="243"/>
      <c r="W1715" s="243"/>
      <c r="X1715" s="243"/>
      <c r="Y1715" s="243"/>
      <c r="Z1715" s="243"/>
      <c r="AA1715" s="243"/>
      <c r="AB1715" s="243"/>
      <c r="AC1715" s="243"/>
      <c r="AD1715" s="243"/>
      <c r="AE1715" s="243"/>
    </row>
    <row r="1716">
      <c r="P1716" s="242"/>
      <c r="Q1716" s="207"/>
      <c r="U1716" s="243"/>
      <c r="V1716" s="243"/>
      <c r="W1716" s="243"/>
      <c r="X1716" s="243"/>
      <c r="Y1716" s="243"/>
      <c r="Z1716" s="243"/>
      <c r="AA1716" s="243"/>
      <c r="AB1716" s="243"/>
      <c r="AC1716" s="243"/>
      <c r="AD1716" s="243"/>
      <c r="AE1716" s="243"/>
    </row>
    <row r="1717">
      <c r="P1717" s="242"/>
      <c r="Q1717" s="207"/>
      <c r="U1717" s="243"/>
      <c r="V1717" s="243"/>
      <c r="W1717" s="243"/>
      <c r="X1717" s="243"/>
      <c r="Y1717" s="243"/>
      <c r="Z1717" s="243"/>
      <c r="AA1717" s="243"/>
      <c r="AB1717" s="243"/>
      <c r="AC1717" s="243"/>
      <c r="AD1717" s="243"/>
      <c r="AE1717" s="243"/>
    </row>
    <row r="1718">
      <c r="P1718" s="242"/>
      <c r="Q1718" s="207"/>
      <c r="U1718" s="243"/>
      <c r="V1718" s="243"/>
      <c r="W1718" s="243"/>
      <c r="X1718" s="243"/>
      <c r="Y1718" s="243"/>
      <c r="Z1718" s="243"/>
      <c r="AA1718" s="243"/>
      <c r="AB1718" s="243"/>
      <c r="AC1718" s="243"/>
      <c r="AD1718" s="243"/>
      <c r="AE1718" s="243"/>
    </row>
    <row r="1719">
      <c r="P1719" s="242"/>
      <c r="Q1719" s="207"/>
      <c r="U1719" s="243"/>
      <c r="V1719" s="243"/>
      <c r="W1719" s="243"/>
      <c r="X1719" s="243"/>
      <c r="Y1719" s="243"/>
      <c r="Z1719" s="243"/>
      <c r="AA1719" s="243"/>
      <c r="AB1719" s="243"/>
      <c r="AC1719" s="243"/>
      <c r="AD1719" s="243"/>
      <c r="AE1719" s="243"/>
    </row>
    <row r="1720">
      <c r="P1720" s="242"/>
      <c r="Q1720" s="207"/>
      <c r="U1720" s="243"/>
      <c r="V1720" s="243"/>
      <c r="W1720" s="243"/>
      <c r="X1720" s="243"/>
      <c r="Y1720" s="243"/>
      <c r="Z1720" s="243"/>
      <c r="AA1720" s="243"/>
      <c r="AB1720" s="243"/>
      <c r="AC1720" s="243"/>
      <c r="AD1720" s="243"/>
      <c r="AE1720" s="243"/>
    </row>
    <row r="1721">
      <c r="P1721" s="242"/>
      <c r="Q1721" s="207"/>
      <c r="U1721" s="243"/>
      <c r="V1721" s="243"/>
      <c r="W1721" s="243"/>
      <c r="X1721" s="243"/>
      <c r="Y1721" s="243"/>
      <c r="Z1721" s="243"/>
      <c r="AA1721" s="243"/>
      <c r="AB1721" s="243"/>
      <c r="AC1721" s="243"/>
      <c r="AD1721" s="243"/>
      <c r="AE1721" s="243"/>
    </row>
    <row r="1722">
      <c r="P1722" s="242"/>
      <c r="Q1722" s="207"/>
      <c r="U1722" s="243"/>
      <c r="V1722" s="243"/>
      <c r="W1722" s="243"/>
      <c r="X1722" s="243"/>
      <c r="Y1722" s="243"/>
      <c r="Z1722" s="243"/>
      <c r="AA1722" s="243"/>
      <c r="AB1722" s="243"/>
      <c r="AC1722" s="243"/>
      <c r="AD1722" s="243"/>
      <c r="AE1722" s="243"/>
    </row>
    <row r="1723">
      <c r="P1723" s="242"/>
      <c r="Q1723" s="207"/>
      <c r="U1723" s="243"/>
      <c r="V1723" s="243"/>
      <c r="W1723" s="243"/>
      <c r="X1723" s="243"/>
      <c r="Y1723" s="243"/>
      <c r="Z1723" s="243"/>
      <c r="AA1723" s="243"/>
      <c r="AB1723" s="243"/>
      <c r="AC1723" s="243"/>
      <c r="AD1723" s="243"/>
      <c r="AE1723" s="243"/>
    </row>
    <row r="1724">
      <c r="P1724" s="242"/>
      <c r="Q1724" s="207"/>
      <c r="U1724" s="243"/>
      <c r="V1724" s="243"/>
      <c r="W1724" s="243"/>
      <c r="X1724" s="243"/>
      <c r="Y1724" s="243"/>
      <c r="Z1724" s="243"/>
      <c r="AA1724" s="243"/>
      <c r="AB1724" s="243"/>
      <c r="AC1724" s="243"/>
      <c r="AD1724" s="243"/>
      <c r="AE1724" s="243"/>
    </row>
    <row r="1725">
      <c r="P1725" s="242"/>
      <c r="Q1725" s="207"/>
      <c r="U1725" s="243"/>
      <c r="V1725" s="243"/>
      <c r="W1725" s="243"/>
      <c r="X1725" s="243"/>
      <c r="Y1725" s="243"/>
      <c r="Z1725" s="243"/>
      <c r="AA1725" s="243"/>
      <c r="AB1725" s="243"/>
      <c r="AC1725" s="243"/>
      <c r="AD1725" s="243"/>
      <c r="AE1725" s="243"/>
    </row>
    <row r="1726">
      <c r="P1726" s="242"/>
      <c r="Q1726" s="207"/>
      <c r="U1726" s="243"/>
      <c r="V1726" s="243"/>
      <c r="W1726" s="243"/>
      <c r="X1726" s="243"/>
      <c r="Y1726" s="243"/>
      <c r="Z1726" s="243"/>
      <c r="AA1726" s="243"/>
      <c r="AB1726" s="243"/>
      <c r="AC1726" s="243"/>
      <c r="AD1726" s="243"/>
      <c r="AE1726" s="243"/>
    </row>
    <row r="1727">
      <c r="P1727" s="242"/>
      <c r="Q1727" s="207"/>
      <c r="U1727" s="243"/>
      <c r="V1727" s="243"/>
      <c r="W1727" s="243"/>
      <c r="X1727" s="243"/>
      <c r="Y1727" s="243"/>
      <c r="Z1727" s="243"/>
      <c r="AA1727" s="243"/>
      <c r="AB1727" s="243"/>
      <c r="AC1727" s="243"/>
      <c r="AD1727" s="243"/>
      <c r="AE1727" s="243"/>
    </row>
    <row r="1728">
      <c r="P1728" s="242"/>
      <c r="Q1728" s="207"/>
      <c r="U1728" s="243"/>
      <c r="V1728" s="243"/>
      <c r="W1728" s="243"/>
      <c r="X1728" s="243"/>
      <c r="Y1728" s="243"/>
      <c r="Z1728" s="243"/>
      <c r="AA1728" s="243"/>
      <c r="AB1728" s="243"/>
      <c r="AC1728" s="243"/>
      <c r="AD1728" s="243"/>
      <c r="AE1728" s="243"/>
    </row>
    <row r="1729">
      <c r="P1729" s="242"/>
      <c r="Q1729" s="207"/>
      <c r="U1729" s="243"/>
      <c r="V1729" s="243"/>
      <c r="W1729" s="243"/>
      <c r="X1729" s="243"/>
      <c r="Y1729" s="243"/>
      <c r="Z1729" s="243"/>
      <c r="AA1729" s="243"/>
      <c r="AB1729" s="243"/>
      <c r="AC1729" s="243"/>
      <c r="AD1729" s="243"/>
      <c r="AE1729" s="243"/>
    </row>
    <row r="1730">
      <c r="P1730" s="242"/>
      <c r="Q1730" s="207"/>
      <c r="U1730" s="243"/>
      <c r="V1730" s="243"/>
      <c r="W1730" s="243"/>
      <c r="X1730" s="243"/>
      <c r="Y1730" s="243"/>
      <c r="Z1730" s="243"/>
      <c r="AA1730" s="243"/>
      <c r="AB1730" s="243"/>
      <c r="AC1730" s="243"/>
      <c r="AD1730" s="243"/>
      <c r="AE1730" s="243"/>
    </row>
    <row r="1731">
      <c r="P1731" s="242"/>
      <c r="Q1731" s="207"/>
      <c r="U1731" s="243"/>
      <c r="V1731" s="243"/>
      <c r="W1731" s="243"/>
      <c r="X1731" s="243"/>
      <c r="Y1731" s="243"/>
      <c r="Z1731" s="243"/>
      <c r="AA1731" s="243"/>
      <c r="AB1731" s="243"/>
      <c r="AC1731" s="243"/>
      <c r="AD1731" s="243"/>
      <c r="AE1731" s="243"/>
    </row>
    <row r="1732">
      <c r="P1732" s="242"/>
      <c r="Q1732" s="207"/>
      <c r="U1732" s="243"/>
      <c r="V1732" s="243"/>
      <c r="W1732" s="243"/>
      <c r="X1732" s="243"/>
      <c r="Y1732" s="243"/>
      <c r="Z1732" s="243"/>
      <c r="AA1732" s="243"/>
      <c r="AB1732" s="243"/>
      <c r="AC1732" s="243"/>
      <c r="AD1732" s="243"/>
      <c r="AE1732" s="243"/>
    </row>
    <row r="1733">
      <c r="P1733" s="242"/>
      <c r="Q1733" s="207"/>
      <c r="U1733" s="243"/>
      <c r="V1733" s="243"/>
      <c r="W1733" s="243"/>
      <c r="X1733" s="243"/>
      <c r="Y1733" s="243"/>
      <c r="Z1733" s="243"/>
      <c r="AA1733" s="243"/>
      <c r="AB1733" s="243"/>
      <c r="AC1733" s="243"/>
      <c r="AD1733" s="243"/>
      <c r="AE1733" s="243"/>
    </row>
    <row r="1734">
      <c r="P1734" s="242"/>
      <c r="Q1734" s="207"/>
      <c r="U1734" s="243"/>
      <c r="V1734" s="243"/>
      <c r="W1734" s="243"/>
      <c r="X1734" s="243"/>
      <c r="Y1734" s="243"/>
      <c r="Z1734" s="243"/>
      <c r="AA1734" s="243"/>
      <c r="AB1734" s="243"/>
      <c r="AC1734" s="243"/>
      <c r="AD1734" s="243"/>
      <c r="AE1734" s="243"/>
    </row>
    <row r="1735">
      <c r="P1735" s="242"/>
      <c r="Q1735" s="207"/>
      <c r="U1735" s="243"/>
      <c r="V1735" s="243"/>
      <c r="W1735" s="243"/>
      <c r="X1735" s="243"/>
      <c r="Y1735" s="243"/>
      <c r="Z1735" s="243"/>
      <c r="AA1735" s="243"/>
      <c r="AB1735" s="243"/>
      <c r="AC1735" s="243"/>
      <c r="AD1735" s="243"/>
      <c r="AE1735" s="243"/>
    </row>
    <row r="1736">
      <c r="P1736" s="242"/>
      <c r="Q1736" s="207"/>
      <c r="U1736" s="243"/>
      <c r="V1736" s="243"/>
      <c r="W1736" s="243"/>
      <c r="X1736" s="243"/>
      <c r="Y1736" s="243"/>
      <c r="Z1736" s="243"/>
      <c r="AA1736" s="243"/>
      <c r="AB1736" s="243"/>
      <c r="AC1736" s="243"/>
      <c r="AD1736" s="243"/>
      <c r="AE1736" s="243"/>
    </row>
    <row r="1737">
      <c r="P1737" s="242"/>
      <c r="Q1737" s="207"/>
      <c r="U1737" s="243"/>
      <c r="V1737" s="243"/>
      <c r="W1737" s="243"/>
      <c r="X1737" s="243"/>
      <c r="Y1737" s="243"/>
      <c r="Z1737" s="243"/>
      <c r="AA1737" s="243"/>
      <c r="AB1737" s="243"/>
      <c r="AC1737" s="243"/>
      <c r="AD1737" s="243"/>
      <c r="AE1737" s="243"/>
    </row>
    <row r="1738">
      <c r="P1738" s="242"/>
      <c r="Q1738" s="207"/>
      <c r="U1738" s="243"/>
      <c r="V1738" s="243"/>
      <c r="W1738" s="243"/>
      <c r="X1738" s="243"/>
      <c r="Y1738" s="243"/>
      <c r="Z1738" s="243"/>
      <c r="AA1738" s="243"/>
      <c r="AB1738" s="243"/>
      <c r="AC1738" s="243"/>
      <c r="AD1738" s="243"/>
      <c r="AE1738" s="243"/>
    </row>
    <row r="1739">
      <c r="P1739" s="242"/>
      <c r="Q1739" s="207"/>
      <c r="U1739" s="243"/>
      <c r="V1739" s="243"/>
      <c r="W1739" s="243"/>
      <c r="X1739" s="243"/>
      <c r="Y1739" s="243"/>
      <c r="Z1739" s="243"/>
      <c r="AA1739" s="243"/>
      <c r="AB1739" s="243"/>
      <c r="AC1739" s="243"/>
      <c r="AD1739" s="243"/>
      <c r="AE1739" s="243"/>
    </row>
    <row r="1740">
      <c r="P1740" s="242"/>
      <c r="Q1740" s="207"/>
      <c r="U1740" s="243"/>
      <c r="V1740" s="243"/>
      <c r="W1740" s="243"/>
      <c r="X1740" s="243"/>
      <c r="Y1740" s="243"/>
      <c r="Z1740" s="243"/>
      <c r="AA1740" s="243"/>
      <c r="AB1740" s="243"/>
      <c r="AC1740" s="243"/>
      <c r="AD1740" s="243"/>
      <c r="AE1740" s="243"/>
    </row>
    <row r="1741">
      <c r="P1741" s="242"/>
      <c r="Q1741" s="207"/>
      <c r="U1741" s="243"/>
      <c r="V1741" s="243"/>
      <c r="W1741" s="243"/>
      <c r="X1741" s="243"/>
      <c r="Y1741" s="243"/>
      <c r="Z1741" s="243"/>
      <c r="AA1741" s="243"/>
      <c r="AB1741" s="243"/>
      <c r="AC1741" s="243"/>
      <c r="AD1741" s="243"/>
      <c r="AE1741" s="243"/>
    </row>
    <row r="1742">
      <c r="P1742" s="242"/>
      <c r="Q1742" s="207"/>
      <c r="U1742" s="243"/>
      <c r="V1742" s="243"/>
      <c r="W1742" s="243"/>
      <c r="X1742" s="243"/>
      <c r="Y1742" s="243"/>
      <c r="Z1742" s="243"/>
      <c r="AA1742" s="243"/>
      <c r="AB1742" s="243"/>
      <c r="AC1742" s="243"/>
      <c r="AD1742" s="243"/>
      <c r="AE1742" s="243"/>
    </row>
    <row r="1743">
      <c r="P1743" s="242"/>
      <c r="Q1743" s="207"/>
      <c r="U1743" s="243"/>
      <c r="V1743" s="243"/>
      <c r="W1743" s="243"/>
      <c r="X1743" s="243"/>
      <c r="Y1743" s="243"/>
      <c r="Z1743" s="243"/>
      <c r="AA1743" s="243"/>
      <c r="AB1743" s="243"/>
      <c r="AC1743" s="243"/>
      <c r="AD1743" s="243"/>
      <c r="AE1743" s="243"/>
    </row>
    <row r="1744">
      <c r="P1744" s="242"/>
      <c r="Q1744" s="207"/>
      <c r="U1744" s="243"/>
      <c r="V1744" s="243"/>
      <c r="W1744" s="243"/>
      <c r="X1744" s="243"/>
      <c r="Y1744" s="243"/>
      <c r="Z1744" s="243"/>
      <c r="AA1744" s="243"/>
      <c r="AB1744" s="243"/>
      <c r="AC1744" s="243"/>
      <c r="AD1744" s="243"/>
      <c r="AE1744" s="243"/>
    </row>
    <row r="1745">
      <c r="P1745" s="242"/>
      <c r="Q1745" s="207"/>
      <c r="U1745" s="243"/>
      <c r="V1745" s="243"/>
      <c r="W1745" s="243"/>
      <c r="X1745" s="243"/>
      <c r="Y1745" s="243"/>
      <c r="Z1745" s="243"/>
      <c r="AA1745" s="243"/>
      <c r="AB1745" s="243"/>
      <c r="AC1745" s="243"/>
      <c r="AD1745" s="243"/>
      <c r="AE1745" s="243"/>
    </row>
    <row r="1746">
      <c r="P1746" s="242"/>
      <c r="Q1746" s="207"/>
      <c r="U1746" s="243"/>
      <c r="V1746" s="243"/>
      <c r="W1746" s="243"/>
      <c r="X1746" s="243"/>
      <c r="Y1746" s="243"/>
      <c r="Z1746" s="243"/>
      <c r="AA1746" s="243"/>
      <c r="AB1746" s="243"/>
      <c r="AC1746" s="243"/>
      <c r="AD1746" s="243"/>
      <c r="AE1746" s="243"/>
    </row>
    <row r="1747">
      <c r="P1747" s="242"/>
      <c r="Q1747" s="207"/>
      <c r="U1747" s="243"/>
      <c r="V1747" s="243"/>
      <c r="W1747" s="243"/>
      <c r="X1747" s="243"/>
      <c r="Y1747" s="243"/>
      <c r="Z1747" s="243"/>
      <c r="AA1747" s="243"/>
      <c r="AB1747" s="243"/>
      <c r="AC1747" s="243"/>
      <c r="AD1747" s="243"/>
      <c r="AE1747" s="243"/>
    </row>
    <row r="1748">
      <c r="P1748" s="242"/>
      <c r="Q1748" s="207"/>
      <c r="U1748" s="243"/>
      <c r="V1748" s="243"/>
      <c r="W1748" s="243"/>
      <c r="X1748" s="243"/>
      <c r="Y1748" s="243"/>
      <c r="Z1748" s="243"/>
      <c r="AA1748" s="243"/>
      <c r="AB1748" s="243"/>
      <c r="AC1748" s="243"/>
      <c r="AD1748" s="243"/>
      <c r="AE1748" s="243"/>
    </row>
    <row r="1749">
      <c r="P1749" s="242"/>
      <c r="Q1749" s="207"/>
      <c r="U1749" s="243"/>
      <c r="V1749" s="243"/>
      <c r="W1749" s="243"/>
      <c r="X1749" s="243"/>
      <c r="Y1749" s="243"/>
      <c r="Z1749" s="243"/>
      <c r="AA1749" s="243"/>
      <c r="AB1749" s="243"/>
      <c r="AC1749" s="243"/>
      <c r="AD1749" s="243"/>
      <c r="AE1749" s="243"/>
    </row>
    <row r="1750">
      <c r="P1750" s="242"/>
      <c r="Q1750" s="207"/>
      <c r="U1750" s="243"/>
      <c r="V1750" s="243"/>
      <c r="W1750" s="243"/>
      <c r="X1750" s="243"/>
      <c r="Y1750" s="243"/>
      <c r="Z1750" s="243"/>
      <c r="AA1750" s="243"/>
      <c r="AB1750" s="243"/>
      <c r="AC1750" s="243"/>
      <c r="AD1750" s="243"/>
      <c r="AE1750" s="243"/>
    </row>
    <row r="1751">
      <c r="P1751" s="242"/>
      <c r="Q1751" s="207"/>
      <c r="U1751" s="243"/>
      <c r="V1751" s="243"/>
      <c r="W1751" s="243"/>
      <c r="X1751" s="243"/>
      <c r="Y1751" s="243"/>
      <c r="Z1751" s="243"/>
      <c r="AA1751" s="243"/>
      <c r="AB1751" s="243"/>
      <c r="AC1751" s="243"/>
      <c r="AD1751" s="243"/>
      <c r="AE1751" s="243"/>
    </row>
    <row r="1752">
      <c r="P1752" s="242"/>
      <c r="Q1752" s="207"/>
      <c r="U1752" s="243"/>
      <c r="V1752" s="243"/>
      <c r="W1752" s="243"/>
      <c r="X1752" s="243"/>
      <c r="Y1752" s="243"/>
      <c r="Z1752" s="243"/>
      <c r="AA1752" s="243"/>
      <c r="AB1752" s="243"/>
      <c r="AC1752" s="243"/>
      <c r="AD1752" s="243"/>
      <c r="AE1752" s="243"/>
    </row>
    <row r="1753">
      <c r="P1753" s="242"/>
      <c r="Q1753" s="207"/>
      <c r="U1753" s="243"/>
      <c r="V1753" s="243"/>
      <c r="W1753" s="243"/>
      <c r="X1753" s="243"/>
      <c r="Y1753" s="243"/>
      <c r="Z1753" s="243"/>
      <c r="AA1753" s="243"/>
      <c r="AB1753" s="243"/>
      <c r="AC1753" s="243"/>
      <c r="AD1753" s="243"/>
      <c r="AE1753" s="243"/>
    </row>
    <row r="1754">
      <c r="P1754" s="242"/>
      <c r="Q1754" s="207"/>
      <c r="U1754" s="243"/>
      <c r="V1754" s="243"/>
      <c r="W1754" s="243"/>
      <c r="X1754" s="243"/>
      <c r="Y1754" s="243"/>
      <c r="Z1754" s="243"/>
      <c r="AA1754" s="243"/>
      <c r="AB1754" s="243"/>
      <c r="AC1754" s="243"/>
      <c r="AD1754" s="243"/>
      <c r="AE1754" s="243"/>
    </row>
    <row r="1755">
      <c r="P1755" s="242"/>
      <c r="Q1755" s="207"/>
      <c r="U1755" s="243"/>
      <c r="V1755" s="243"/>
      <c r="W1755" s="243"/>
      <c r="X1755" s="243"/>
      <c r="Y1755" s="243"/>
      <c r="Z1755" s="243"/>
      <c r="AA1755" s="243"/>
      <c r="AB1755" s="243"/>
      <c r="AC1755" s="243"/>
      <c r="AD1755" s="243"/>
      <c r="AE1755" s="243"/>
    </row>
    <row r="1756">
      <c r="P1756" s="242"/>
      <c r="Q1756" s="207"/>
      <c r="U1756" s="243"/>
      <c r="V1756" s="243"/>
      <c r="W1756" s="243"/>
      <c r="X1756" s="243"/>
      <c r="Y1756" s="243"/>
      <c r="Z1756" s="243"/>
      <c r="AA1756" s="243"/>
      <c r="AB1756" s="243"/>
      <c r="AC1756" s="243"/>
      <c r="AD1756" s="243"/>
      <c r="AE1756" s="243"/>
    </row>
    <row r="1757">
      <c r="P1757" s="242"/>
      <c r="Q1757" s="207"/>
      <c r="U1757" s="243"/>
      <c r="V1757" s="243"/>
      <c r="W1757" s="243"/>
      <c r="X1757" s="243"/>
      <c r="Y1757" s="243"/>
      <c r="Z1757" s="243"/>
      <c r="AA1757" s="243"/>
      <c r="AB1757" s="243"/>
      <c r="AC1757" s="243"/>
      <c r="AD1757" s="243"/>
      <c r="AE1757" s="243"/>
    </row>
    <row r="1758">
      <c r="P1758" s="242"/>
      <c r="Q1758" s="207"/>
      <c r="U1758" s="243"/>
      <c r="V1758" s="243"/>
      <c r="W1758" s="243"/>
      <c r="X1758" s="243"/>
      <c r="Y1758" s="243"/>
      <c r="Z1758" s="243"/>
      <c r="AA1758" s="243"/>
      <c r="AB1758" s="243"/>
      <c r="AC1758" s="243"/>
      <c r="AD1758" s="243"/>
      <c r="AE1758" s="243"/>
    </row>
    <row r="1759">
      <c r="P1759" s="242"/>
      <c r="Q1759" s="207"/>
      <c r="U1759" s="243"/>
      <c r="V1759" s="243"/>
      <c r="W1759" s="243"/>
      <c r="X1759" s="243"/>
      <c r="Y1759" s="243"/>
      <c r="Z1759" s="243"/>
      <c r="AA1759" s="243"/>
      <c r="AB1759" s="243"/>
      <c r="AC1759" s="243"/>
      <c r="AD1759" s="243"/>
      <c r="AE1759" s="243"/>
    </row>
    <row r="1760">
      <c r="P1760" s="242"/>
      <c r="Q1760" s="207"/>
      <c r="U1760" s="243"/>
      <c r="V1760" s="243"/>
      <c r="W1760" s="243"/>
      <c r="X1760" s="243"/>
      <c r="Y1760" s="243"/>
      <c r="Z1760" s="243"/>
      <c r="AA1760" s="243"/>
      <c r="AB1760" s="243"/>
      <c r="AC1760" s="243"/>
      <c r="AD1760" s="243"/>
      <c r="AE1760" s="243"/>
    </row>
    <row r="1761">
      <c r="P1761" s="242"/>
      <c r="Q1761" s="207"/>
      <c r="U1761" s="243"/>
      <c r="V1761" s="243"/>
      <c r="W1761" s="243"/>
      <c r="X1761" s="243"/>
      <c r="Y1761" s="243"/>
      <c r="Z1761" s="243"/>
      <c r="AA1761" s="243"/>
      <c r="AB1761" s="243"/>
      <c r="AC1761" s="243"/>
      <c r="AD1761" s="243"/>
      <c r="AE1761" s="243"/>
    </row>
    <row r="1762">
      <c r="P1762" s="242"/>
      <c r="Q1762" s="207"/>
      <c r="U1762" s="243"/>
      <c r="V1762" s="243"/>
      <c r="W1762" s="243"/>
      <c r="X1762" s="243"/>
      <c r="Y1762" s="243"/>
      <c r="Z1762" s="243"/>
      <c r="AA1762" s="243"/>
      <c r="AB1762" s="243"/>
      <c r="AC1762" s="243"/>
      <c r="AD1762" s="243"/>
      <c r="AE1762" s="243"/>
    </row>
    <row r="1763">
      <c r="P1763" s="242"/>
      <c r="Q1763" s="207"/>
      <c r="U1763" s="243"/>
      <c r="V1763" s="243"/>
      <c r="W1763" s="243"/>
      <c r="X1763" s="243"/>
      <c r="Y1763" s="243"/>
      <c r="Z1763" s="243"/>
      <c r="AA1763" s="243"/>
      <c r="AB1763" s="243"/>
      <c r="AC1763" s="243"/>
      <c r="AD1763" s="243"/>
      <c r="AE1763" s="243"/>
    </row>
    <row r="1764">
      <c r="P1764" s="242"/>
      <c r="Q1764" s="207"/>
      <c r="U1764" s="243"/>
      <c r="V1764" s="243"/>
      <c r="W1764" s="243"/>
      <c r="X1764" s="243"/>
      <c r="Y1764" s="243"/>
      <c r="Z1764" s="243"/>
      <c r="AA1764" s="243"/>
      <c r="AB1764" s="243"/>
      <c r="AC1764" s="243"/>
      <c r="AD1764" s="243"/>
      <c r="AE1764" s="243"/>
    </row>
    <row r="1765">
      <c r="P1765" s="242"/>
      <c r="Q1765" s="207"/>
      <c r="U1765" s="243"/>
      <c r="V1765" s="243"/>
      <c r="W1765" s="243"/>
      <c r="X1765" s="243"/>
      <c r="Y1765" s="243"/>
      <c r="Z1765" s="243"/>
      <c r="AA1765" s="243"/>
      <c r="AB1765" s="243"/>
      <c r="AC1765" s="243"/>
      <c r="AD1765" s="243"/>
      <c r="AE1765" s="243"/>
    </row>
    <row r="1766">
      <c r="P1766" s="242"/>
      <c r="Q1766" s="207"/>
      <c r="U1766" s="243"/>
      <c r="V1766" s="243"/>
      <c r="W1766" s="243"/>
      <c r="X1766" s="243"/>
      <c r="Y1766" s="243"/>
      <c r="Z1766" s="243"/>
      <c r="AA1766" s="243"/>
      <c r="AB1766" s="243"/>
      <c r="AC1766" s="243"/>
      <c r="AD1766" s="243"/>
      <c r="AE1766" s="243"/>
    </row>
    <row r="1767">
      <c r="P1767" s="242"/>
      <c r="Q1767" s="207"/>
      <c r="U1767" s="243"/>
      <c r="V1767" s="243"/>
      <c r="W1767" s="243"/>
      <c r="X1767" s="243"/>
      <c r="Y1767" s="243"/>
      <c r="Z1767" s="243"/>
      <c r="AA1767" s="243"/>
      <c r="AB1767" s="243"/>
      <c r="AC1767" s="243"/>
      <c r="AD1767" s="243"/>
      <c r="AE1767" s="243"/>
    </row>
    <row r="1768">
      <c r="P1768" s="242"/>
      <c r="Q1768" s="207"/>
      <c r="U1768" s="243"/>
      <c r="V1768" s="243"/>
      <c r="W1768" s="243"/>
      <c r="X1768" s="243"/>
      <c r="Y1768" s="243"/>
      <c r="Z1768" s="243"/>
      <c r="AA1768" s="243"/>
      <c r="AB1768" s="243"/>
      <c r="AC1768" s="243"/>
      <c r="AD1768" s="243"/>
      <c r="AE1768" s="243"/>
    </row>
    <row r="1769">
      <c r="P1769" s="242"/>
      <c r="Q1769" s="207"/>
      <c r="U1769" s="243"/>
      <c r="V1769" s="243"/>
      <c r="W1769" s="243"/>
      <c r="X1769" s="243"/>
      <c r="Y1769" s="243"/>
      <c r="Z1769" s="243"/>
      <c r="AA1769" s="243"/>
      <c r="AB1769" s="243"/>
      <c r="AC1769" s="243"/>
      <c r="AD1769" s="243"/>
      <c r="AE1769" s="243"/>
    </row>
    <row r="1770">
      <c r="P1770" s="242"/>
      <c r="Q1770" s="207"/>
      <c r="U1770" s="243"/>
      <c r="V1770" s="243"/>
      <c r="W1770" s="243"/>
      <c r="X1770" s="243"/>
      <c r="Y1770" s="243"/>
      <c r="Z1770" s="243"/>
      <c r="AA1770" s="243"/>
      <c r="AB1770" s="243"/>
      <c r="AC1770" s="243"/>
      <c r="AD1770" s="243"/>
      <c r="AE1770" s="243"/>
    </row>
    <row r="1771">
      <c r="P1771" s="242"/>
      <c r="Q1771" s="207"/>
      <c r="U1771" s="243"/>
      <c r="V1771" s="243"/>
      <c r="W1771" s="243"/>
      <c r="X1771" s="243"/>
      <c r="Y1771" s="243"/>
      <c r="Z1771" s="243"/>
      <c r="AA1771" s="243"/>
      <c r="AB1771" s="243"/>
      <c r="AC1771" s="243"/>
      <c r="AD1771" s="243"/>
      <c r="AE1771" s="243"/>
    </row>
    <row r="1772">
      <c r="P1772" s="242"/>
      <c r="Q1772" s="207"/>
      <c r="U1772" s="243"/>
      <c r="V1772" s="243"/>
      <c r="W1772" s="243"/>
      <c r="X1772" s="243"/>
      <c r="Y1772" s="243"/>
      <c r="Z1772" s="243"/>
      <c r="AA1772" s="243"/>
      <c r="AB1772" s="243"/>
      <c r="AC1772" s="243"/>
      <c r="AD1772" s="243"/>
      <c r="AE1772" s="243"/>
    </row>
    <row r="1773">
      <c r="P1773" s="242"/>
      <c r="Q1773" s="207"/>
      <c r="U1773" s="243"/>
      <c r="V1773" s="243"/>
      <c r="W1773" s="243"/>
      <c r="X1773" s="243"/>
      <c r="Y1773" s="243"/>
      <c r="Z1773" s="243"/>
      <c r="AA1773" s="243"/>
      <c r="AB1773" s="243"/>
      <c r="AC1773" s="243"/>
      <c r="AD1773" s="243"/>
      <c r="AE1773" s="243"/>
    </row>
    <row r="1774">
      <c r="P1774" s="242"/>
      <c r="Q1774" s="207"/>
      <c r="U1774" s="243"/>
      <c r="V1774" s="243"/>
      <c r="W1774" s="243"/>
      <c r="X1774" s="243"/>
      <c r="Y1774" s="243"/>
      <c r="Z1774" s="243"/>
      <c r="AA1774" s="243"/>
      <c r="AB1774" s="243"/>
      <c r="AC1774" s="243"/>
      <c r="AD1774" s="243"/>
      <c r="AE1774" s="243"/>
    </row>
    <row r="1775">
      <c r="P1775" s="242"/>
      <c r="Q1775" s="207"/>
      <c r="U1775" s="243"/>
      <c r="V1775" s="243"/>
      <c r="W1775" s="243"/>
      <c r="X1775" s="243"/>
      <c r="Y1775" s="243"/>
      <c r="Z1775" s="243"/>
      <c r="AA1775" s="243"/>
      <c r="AB1775" s="243"/>
      <c r="AC1775" s="243"/>
      <c r="AD1775" s="243"/>
      <c r="AE1775" s="243"/>
    </row>
    <row r="1776">
      <c r="P1776" s="242"/>
      <c r="Q1776" s="207"/>
      <c r="U1776" s="243"/>
      <c r="V1776" s="243"/>
      <c r="W1776" s="243"/>
      <c r="X1776" s="243"/>
      <c r="Y1776" s="243"/>
      <c r="Z1776" s="243"/>
      <c r="AA1776" s="243"/>
      <c r="AB1776" s="243"/>
      <c r="AC1776" s="243"/>
      <c r="AD1776" s="243"/>
      <c r="AE1776" s="243"/>
    </row>
    <row r="1777">
      <c r="P1777" s="242"/>
      <c r="Q1777" s="207"/>
      <c r="U1777" s="243"/>
      <c r="V1777" s="243"/>
      <c r="W1777" s="243"/>
      <c r="X1777" s="243"/>
      <c r="Y1777" s="243"/>
      <c r="Z1777" s="243"/>
      <c r="AA1777" s="243"/>
      <c r="AB1777" s="243"/>
      <c r="AC1777" s="243"/>
      <c r="AD1777" s="243"/>
      <c r="AE1777" s="243"/>
    </row>
    <row r="1778">
      <c r="P1778" s="242"/>
      <c r="Q1778" s="207"/>
      <c r="U1778" s="243"/>
      <c r="V1778" s="243"/>
      <c r="W1778" s="243"/>
      <c r="X1778" s="243"/>
      <c r="Y1778" s="243"/>
      <c r="Z1778" s="243"/>
      <c r="AA1778" s="243"/>
      <c r="AB1778" s="243"/>
      <c r="AC1778" s="243"/>
      <c r="AD1778" s="243"/>
      <c r="AE1778" s="243"/>
    </row>
    <row r="1779">
      <c r="P1779" s="242"/>
      <c r="Q1779" s="207"/>
      <c r="U1779" s="243"/>
      <c r="V1779" s="243"/>
      <c r="W1779" s="243"/>
      <c r="X1779" s="243"/>
      <c r="Y1779" s="243"/>
      <c r="Z1779" s="243"/>
      <c r="AA1779" s="243"/>
      <c r="AB1779" s="243"/>
      <c r="AC1779" s="243"/>
      <c r="AD1779" s="243"/>
      <c r="AE1779" s="243"/>
    </row>
    <row r="1780">
      <c r="P1780" s="242"/>
      <c r="Q1780" s="207"/>
      <c r="U1780" s="243"/>
      <c r="V1780" s="243"/>
      <c r="W1780" s="243"/>
      <c r="X1780" s="243"/>
      <c r="Y1780" s="243"/>
      <c r="Z1780" s="243"/>
      <c r="AA1780" s="243"/>
      <c r="AB1780" s="243"/>
      <c r="AC1780" s="243"/>
      <c r="AD1780" s="243"/>
      <c r="AE1780" s="243"/>
    </row>
    <row r="1781">
      <c r="P1781" s="242"/>
      <c r="Q1781" s="207"/>
      <c r="U1781" s="243"/>
      <c r="V1781" s="243"/>
      <c r="W1781" s="243"/>
      <c r="X1781" s="243"/>
      <c r="Y1781" s="243"/>
      <c r="Z1781" s="243"/>
      <c r="AA1781" s="243"/>
      <c r="AB1781" s="243"/>
      <c r="AC1781" s="243"/>
      <c r="AD1781" s="243"/>
      <c r="AE1781" s="243"/>
    </row>
    <row r="1782">
      <c r="P1782" s="242"/>
      <c r="Q1782" s="207"/>
      <c r="U1782" s="243"/>
      <c r="V1782" s="243"/>
      <c r="W1782" s="243"/>
      <c r="X1782" s="243"/>
      <c r="Y1782" s="243"/>
      <c r="Z1782" s="243"/>
      <c r="AA1782" s="243"/>
      <c r="AB1782" s="243"/>
      <c r="AC1782" s="243"/>
      <c r="AD1782" s="243"/>
      <c r="AE1782" s="243"/>
    </row>
    <row r="1783">
      <c r="P1783" s="242"/>
      <c r="Q1783" s="207"/>
      <c r="U1783" s="243"/>
      <c r="V1783" s="243"/>
      <c r="W1783" s="243"/>
      <c r="X1783" s="243"/>
      <c r="Y1783" s="243"/>
      <c r="Z1783" s="243"/>
      <c r="AA1783" s="243"/>
      <c r="AB1783" s="243"/>
      <c r="AC1783" s="243"/>
      <c r="AD1783" s="243"/>
      <c r="AE1783" s="243"/>
    </row>
    <row r="1784">
      <c r="P1784" s="242"/>
      <c r="Q1784" s="207"/>
      <c r="U1784" s="243"/>
      <c r="V1784" s="243"/>
      <c r="W1784" s="243"/>
      <c r="X1784" s="243"/>
      <c r="Y1784" s="243"/>
      <c r="Z1784" s="243"/>
      <c r="AA1784" s="243"/>
      <c r="AB1784" s="243"/>
      <c r="AC1784" s="243"/>
      <c r="AD1784" s="243"/>
      <c r="AE1784" s="243"/>
    </row>
    <row r="1785">
      <c r="P1785" s="242"/>
      <c r="Q1785" s="207"/>
      <c r="U1785" s="243"/>
      <c r="V1785" s="243"/>
      <c r="W1785" s="243"/>
      <c r="X1785" s="243"/>
      <c r="Y1785" s="243"/>
      <c r="Z1785" s="243"/>
      <c r="AA1785" s="243"/>
      <c r="AB1785" s="243"/>
      <c r="AC1785" s="243"/>
      <c r="AD1785" s="243"/>
      <c r="AE1785" s="243"/>
    </row>
    <row r="1786">
      <c r="P1786" s="242"/>
      <c r="Q1786" s="207"/>
      <c r="U1786" s="243"/>
      <c r="V1786" s="243"/>
      <c r="W1786" s="243"/>
      <c r="X1786" s="243"/>
      <c r="Y1786" s="243"/>
      <c r="Z1786" s="243"/>
      <c r="AA1786" s="243"/>
      <c r="AB1786" s="243"/>
      <c r="AC1786" s="243"/>
      <c r="AD1786" s="243"/>
      <c r="AE1786" s="243"/>
    </row>
    <row r="1787">
      <c r="P1787" s="242"/>
      <c r="Q1787" s="207"/>
      <c r="U1787" s="243"/>
      <c r="V1787" s="243"/>
      <c r="W1787" s="243"/>
      <c r="X1787" s="243"/>
      <c r="Y1787" s="243"/>
      <c r="Z1787" s="243"/>
      <c r="AA1787" s="243"/>
      <c r="AB1787" s="243"/>
      <c r="AC1787" s="243"/>
      <c r="AD1787" s="243"/>
      <c r="AE1787" s="243"/>
    </row>
    <row r="1788">
      <c r="P1788" s="242"/>
      <c r="Q1788" s="207"/>
      <c r="U1788" s="243"/>
      <c r="V1788" s="243"/>
      <c r="W1788" s="243"/>
      <c r="X1788" s="243"/>
      <c r="Y1788" s="243"/>
      <c r="Z1788" s="243"/>
      <c r="AA1788" s="243"/>
      <c r="AB1788" s="243"/>
      <c r="AC1788" s="243"/>
      <c r="AD1788" s="243"/>
      <c r="AE1788" s="243"/>
    </row>
    <row r="1789">
      <c r="P1789" s="242"/>
      <c r="Q1789" s="207"/>
      <c r="U1789" s="243"/>
      <c r="V1789" s="243"/>
      <c r="W1789" s="243"/>
      <c r="X1789" s="243"/>
      <c r="Y1789" s="243"/>
      <c r="Z1789" s="243"/>
      <c r="AA1789" s="243"/>
      <c r="AB1789" s="243"/>
      <c r="AC1789" s="243"/>
      <c r="AD1789" s="243"/>
      <c r="AE1789" s="243"/>
    </row>
    <row r="1790">
      <c r="P1790" s="242"/>
      <c r="Q1790" s="207"/>
      <c r="U1790" s="243"/>
      <c r="V1790" s="243"/>
      <c r="W1790" s="243"/>
      <c r="X1790" s="243"/>
      <c r="Y1790" s="243"/>
      <c r="Z1790" s="243"/>
      <c r="AA1790" s="243"/>
      <c r="AB1790" s="243"/>
      <c r="AC1790" s="243"/>
      <c r="AD1790" s="243"/>
      <c r="AE1790" s="243"/>
    </row>
    <row r="1791">
      <c r="P1791" s="242"/>
      <c r="Q1791" s="207"/>
      <c r="U1791" s="243"/>
      <c r="V1791" s="243"/>
      <c r="W1791" s="243"/>
      <c r="X1791" s="243"/>
      <c r="Y1791" s="243"/>
      <c r="Z1791" s="243"/>
      <c r="AA1791" s="243"/>
      <c r="AB1791" s="243"/>
      <c r="AC1791" s="243"/>
      <c r="AD1791" s="243"/>
      <c r="AE1791" s="243"/>
    </row>
    <row r="1792">
      <c r="P1792" s="242"/>
      <c r="Q1792" s="207"/>
      <c r="U1792" s="243"/>
      <c r="V1792" s="243"/>
      <c r="W1792" s="243"/>
      <c r="X1792" s="243"/>
      <c r="Y1792" s="243"/>
      <c r="Z1792" s="243"/>
      <c r="AA1792" s="243"/>
      <c r="AB1792" s="243"/>
      <c r="AC1792" s="243"/>
      <c r="AD1792" s="243"/>
      <c r="AE1792" s="243"/>
    </row>
    <row r="1793">
      <c r="P1793" s="242"/>
      <c r="Q1793" s="207"/>
      <c r="U1793" s="243"/>
      <c r="V1793" s="243"/>
      <c r="W1793" s="243"/>
      <c r="X1793" s="243"/>
      <c r="Y1793" s="243"/>
      <c r="Z1793" s="243"/>
      <c r="AA1793" s="243"/>
      <c r="AB1793" s="243"/>
      <c r="AC1793" s="243"/>
      <c r="AD1793" s="243"/>
      <c r="AE1793" s="243"/>
    </row>
    <row r="1794">
      <c r="P1794" s="242"/>
      <c r="Q1794" s="207"/>
      <c r="U1794" s="243"/>
      <c r="V1794" s="243"/>
      <c r="W1794" s="243"/>
      <c r="X1794" s="243"/>
      <c r="Y1794" s="243"/>
      <c r="Z1794" s="243"/>
      <c r="AA1794" s="243"/>
      <c r="AB1794" s="243"/>
      <c r="AC1794" s="243"/>
      <c r="AD1794" s="243"/>
      <c r="AE1794" s="243"/>
    </row>
    <row r="1795">
      <c r="P1795" s="242"/>
      <c r="Q1795" s="207"/>
      <c r="U1795" s="243"/>
      <c r="V1795" s="243"/>
      <c r="W1795" s="243"/>
      <c r="X1795" s="243"/>
      <c r="Y1795" s="243"/>
      <c r="Z1795" s="243"/>
      <c r="AA1795" s="243"/>
      <c r="AB1795" s="243"/>
      <c r="AC1795" s="243"/>
      <c r="AD1795" s="243"/>
      <c r="AE1795" s="243"/>
    </row>
    <row r="1796">
      <c r="P1796" s="242"/>
      <c r="Q1796" s="207"/>
      <c r="U1796" s="243"/>
      <c r="V1796" s="243"/>
      <c r="W1796" s="243"/>
      <c r="X1796" s="243"/>
      <c r="Y1796" s="243"/>
      <c r="Z1796" s="243"/>
      <c r="AA1796" s="243"/>
      <c r="AB1796" s="243"/>
      <c r="AC1796" s="243"/>
      <c r="AD1796" s="243"/>
      <c r="AE1796" s="243"/>
    </row>
    <row r="1797">
      <c r="P1797" s="242"/>
      <c r="Q1797" s="207"/>
      <c r="U1797" s="243"/>
      <c r="V1797" s="243"/>
      <c r="W1797" s="243"/>
      <c r="X1797" s="243"/>
      <c r="Y1797" s="243"/>
      <c r="Z1797" s="243"/>
      <c r="AA1797" s="243"/>
      <c r="AB1797" s="243"/>
      <c r="AC1797" s="243"/>
      <c r="AD1797" s="243"/>
      <c r="AE1797" s="243"/>
    </row>
    <row r="1798">
      <c r="P1798" s="242"/>
      <c r="Q1798" s="207"/>
      <c r="U1798" s="243"/>
      <c r="V1798" s="243"/>
      <c r="W1798" s="243"/>
      <c r="X1798" s="243"/>
      <c r="Y1798" s="243"/>
      <c r="Z1798" s="243"/>
      <c r="AA1798" s="243"/>
      <c r="AB1798" s="243"/>
      <c r="AC1798" s="243"/>
      <c r="AD1798" s="243"/>
      <c r="AE1798" s="243"/>
    </row>
    <row r="1799">
      <c r="P1799" s="242"/>
      <c r="Q1799" s="207"/>
      <c r="U1799" s="243"/>
      <c r="V1799" s="243"/>
      <c r="W1799" s="243"/>
      <c r="X1799" s="243"/>
      <c r="Y1799" s="243"/>
      <c r="Z1799" s="243"/>
      <c r="AA1799" s="243"/>
      <c r="AB1799" s="243"/>
      <c r="AC1799" s="243"/>
      <c r="AD1799" s="243"/>
      <c r="AE1799" s="243"/>
    </row>
    <row r="1800">
      <c r="P1800" s="242"/>
      <c r="Q1800" s="207"/>
      <c r="U1800" s="243"/>
      <c r="V1800" s="243"/>
      <c r="W1800" s="243"/>
      <c r="X1800" s="243"/>
      <c r="Y1800" s="243"/>
      <c r="Z1800" s="243"/>
      <c r="AA1800" s="243"/>
      <c r="AB1800" s="243"/>
      <c r="AC1800" s="243"/>
      <c r="AD1800" s="243"/>
      <c r="AE1800" s="243"/>
    </row>
    <row r="1801">
      <c r="P1801" s="242"/>
      <c r="Q1801" s="207"/>
      <c r="U1801" s="243"/>
      <c r="V1801" s="243"/>
      <c r="W1801" s="243"/>
      <c r="X1801" s="243"/>
      <c r="Y1801" s="243"/>
      <c r="Z1801" s="243"/>
      <c r="AA1801" s="243"/>
      <c r="AB1801" s="243"/>
      <c r="AC1801" s="243"/>
      <c r="AD1801" s="243"/>
      <c r="AE1801" s="243"/>
    </row>
    <row r="1802">
      <c r="P1802" s="242"/>
      <c r="Q1802" s="207"/>
      <c r="U1802" s="243"/>
      <c r="V1802" s="243"/>
      <c r="W1802" s="243"/>
      <c r="X1802" s="243"/>
      <c r="Y1802" s="243"/>
      <c r="Z1802" s="243"/>
      <c r="AA1802" s="243"/>
      <c r="AB1802" s="243"/>
      <c r="AC1802" s="243"/>
      <c r="AD1802" s="243"/>
      <c r="AE1802" s="243"/>
    </row>
    <row r="1803">
      <c r="P1803" s="242"/>
      <c r="Q1803" s="207"/>
      <c r="U1803" s="243"/>
      <c r="V1803" s="243"/>
      <c r="W1803" s="243"/>
      <c r="X1803" s="243"/>
      <c r="Y1803" s="243"/>
      <c r="Z1803" s="243"/>
      <c r="AA1803" s="243"/>
      <c r="AB1803" s="243"/>
      <c r="AC1803" s="243"/>
      <c r="AD1803" s="243"/>
      <c r="AE1803" s="243"/>
    </row>
    <row r="1804">
      <c r="P1804" s="242"/>
      <c r="Q1804" s="207"/>
      <c r="U1804" s="243"/>
      <c r="V1804" s="243"/>
      <c r="W1804" s="243"/>
      <c r="X1804" s="243"/>
      <c r="Y1804" s="243"/>
      <c r="Z1804" s="243"/>
      <c r="AA1804" s="243"/>
      <c r="AB1804" s="243"/>
      <c r="AC1804" s="243"/>
      <c r="AD1804" s="243"/>
      <c r="AE1804" s="243"/>
    </row>
    <row r="1805">
      <c r="P1805" s="242"/>
      <c r="Q1805" s="207"/>
      <c r="U1805" s="243"/>
      <c r="V1805" s="243"/>
      <c r="W1805" s="243"/>
      <c r="X1805" s="243"/>
      <c r="Y1805" s="243"/>
      <c r="Z1805" s="243"/>
      <c r="AA1805" s="243"/>
      <c r="AB1805" s="243"/>
      <c r="AC1805" s="243"/>
      <c r="AD1805" s="243"/>
      <c r="AE1805" s="243"/>
    </row>
    <row r="1806">
      <c r="P1806" s="242"/>
      <c r="Q1806" s="207"/>
      <c r="U1806" s="243"/>
      <c r="V1806" s="243"/>
      <c r="W1806" s="243"/>
      <c r="X1806" s="243"/>
      <c r="Y1806" s="243"/>
      <c r="Z1806" s="243"/>
      <c r="AA1806" s="243"/>
      <c r="AB1806" s="243"/>
      <c r="AC1806" s="243"/>
      <c r="AD1806" s="243"/>
      <c r="AE1806" s="243"/>
    </row>
    <row r="1807">
      <c r="P1807" s="242"/>
      <c r="Q1807" s="207"/>
      <c r="U1807" s="243"/>
      <c r="V1807" s="243"/>
      <c r="W1807" s="243"/>
      <c r="X1807" s="243"/>
      <c r="Y1807" s="243"/>
      <c r="Z1807" s="243"/>
      <c r="AA1807" s="243"/>
      <c r="AB1807" s="243"/>
      <c r="AC1807" s="243"/>
      <c r="AD1807" s="243"/>
      <c r="AE1807" s="243"/>
    </row>
    <row r="1808">
      <c r="P1808" s="242"/>
      <c r="Q1808" s="207"/>
      <c r="U1808" s="243"/>
      <c r="V1808" s="243"/>
      <c r="W1808" s="243"/>
      <c r="X1808" s="243"/>
      <c r="Y1808" s="243"/>
      <c r="Z1808" s="243"/>
      <c r="AA1808" s="243"/>
      <c r="AB1808" s="243"/>
      <c r="AC1808" s="243"/>
      <c r="AD1808" s="243"/>
      <c r="AE1808" s="243"/>
    </row>
    <row r="1809">
      <c r="P1809" s="242"/>
      <c r="Q1809" s="207"/>
      <c r="U1809" s="243"/>
      <c r="V1809" s="243"/>
      <c r="W1809" s="243"/>
      <c r="X1809" s="243"/>
      <c r="Y1809" s="243"/>
      <c r="Z1809" s="243"/>
      <c r="AA1809" s="243"/>
      <c r="AB1809" s="243"/>
      <c r="AC1809" s="243"/>
      <c r="AD1809" s="243"/>
      <c r="AE1809" s="243"/>
    </row>
    <row r="1810">
      <c r="P1810" s="242"/>
      <c r="Q1810" s="207"/>
      <c r="U1810" s="243"/>
      <c r="V1810" s="243"/>
      <c r="W1810" s="243"/>
      <c r="X1810" s="243"/>
      <c r="Y1810" s="243"/>
      <c r="Z1810" s="243"/>
      <c r="AA1810" s="243"/>
      <c r="AB1810" s="243"/>
      <c r="AC1810" s="243"/>
      <c r="AD1810" s="243"/>
      <c r="AE1810" s="243"/>
    </row>
    <row r="1811">
      <c r="P1811" s="242"/>
      <c r="Q1811" s="207"/>
      <c r="U1811" s="243"/>
      <c r="V1811" s="243"/>
      <c r="W1811" s="243"/>
      <c r="X1811" s="243"/>
      <c r="Y1811" s="243"/>
      <c r="Z1811" s="243"/>
      <c r="AA1811" s="243"/>
      <c r="AB1811" s="243"/>
      <c r="AC1811" s="243"/>
      <c r="AD1811" s="243"/>
      <c r="AE1811" s="243"/>
    </row>
    <row r="1812">
      <c r="P1812" s="242"/>
      <c r="Q1812" s="207"/>
      <c r="U1812" s="243"/>
      <c r="V1812" s="243"/>
      <c r="W1812" s="243"/>
      <c r="X1812" s="243"/>
      <c r="Y1812" s="243"/>
      <c r="Z1812" s="243"/>
      <c r="AA1812" s="243"/>
      <c r="AB1812" s="243"/>
      <c r="AC1812" s="243"/>
      <c r="AD1812" s="243"/>
      <c r="AE1812" s="243"/>
    </row>
    <row r="1813">
      <c r="P1813" s="242"/>
      <c r="Q1813" s="207"/>
      <c r="U1813" s="243"/>
      <c r="V1813" s="243"/>
      <c r="W1813" s="243"/>
      <c r="X1813" s="243"/>
      <c r="Y1813" s="243"/>
      <c r="Z1813" s="243"/>
      <c r="AA1813" s="243"/>
      <c r="AB1813" s="243"/>
      <c r="AC1813" s="243"/>
      <c r="AD1813" s="243"/>
      <c r="AE1813" s="243"/>
    </row>
    <row r="1814">
      <c r="P1814" s="242"/>
      <c r="Q1814" s="207"/>
      <c r="U1814" s="243"/>
      <c r="V1814" s="243"/>
      <c r="W1814" s="243"/>
      <c r="X1814" s="243"/>
      <c r="Y1814" s="243"/>
      <c r="Z1814" s="243"/>
      <c r="AA1814" s="243"/>
      <c r="AB1814" s="243"/>
      <c r="AC1814" s="243"/>
      <c r="AD1814" s="243"/>
      <c r="AE1814" s="243"/>
    </row>
    <row r="1815">
      <c r="P1815" s="242"/>
      <c r="Q1815" s="207"/>
      <c r="U1815" s="243"/>
      <c r="V1815" s="243"/>
      <c r="W1815" s="243"/>
      <c r="X1815" s="243"/>
      <c r="Y1815" s="243"/>
      <c r="Z1815" s="243"/>
      <c r="AA1815" s="243"/>
      <c r="AB1815" s="243"/>
      <c r="AC1815" s="243"/>
      <c r="AD1815" s="243"/>
      <c r="AE1815" s="243"/>
    </row>
    <row r="1816">
      <c r="P1816" s="242"/>
      <c r="Q1816" s="207"/>
      <c r="U1816" s="243"/>
      <c r="V1816" s="243"/>
      <c r="W1816" s="243"/>
      <c r="X1816" s="243"/>
      <c r="Y1816" s="243"/>
      <c r="Z1816" s="243"/>
      <c r="AA1816" s="243"/>
      <c r="AB1816" s="243"/>
      <c r="AC1816" s="243"/>
      <c r="AD1816" s="243"/>
      <c r="AE1816" s="243"/>
    </row>
    <row r="1817">
      <c r="P1817" s="242"/>
      <c r="Q1817" s="207"/>
      <c r="U1817" s="243"/>
      <c r="V1817" s="243"/>
      <c r="W1817" s="243"/>
      <c r="X1817" s="243"/>
      <c r="Y1817" s="243"/>
      <c r="Z1817" s="243"/>
      <c r="AA1817" s="243"/>
      <c r="AB1817" s="243"/>
      <c r="AC1817" s="243"/>
      <c r="AD1817" s="243"/>
      <c r="AE1817" s="243"/>
    </row>
    <row r="1818">
      <c r="P1818" s="242"/>
      <c r="Q1818" s="207"/>
      <c r="U1818" s="243"/>
      <c r="V1818" s="243"/>
      <c r="W1818" s="243"/>
      <c r="X1818" s="243"/>
      <c r="Y1818" s="243"/>
      <c r="Z1818" s="243"/>
      <c r="AA1818" s="243"/>
      <c r="AB1818" s="243"/>
      <c r="AC1818" s="243"/>
      <c r="AD1818" s="243"/>
      <c r="AE1818" s="243"/>
    </row>
    <row r="1819">
      <c r="P1819" s="242"/>
      <c r="Q1819" s="207"/>
      <c r="U1819" s="243"/>
      <c r="V1819" s="243"/>
      <c r="W1819" s="243"/>
      <c r="X1819" s="243"/>
      <c r="Y1819" s="243"/>
      <c r="Z1819" s="243"/>
      <c r="AA1819" s="243"/>
      <c r="AB1819" s="243"/>
      <c r="AC1819" s="243"/>
      <c r="AD1819" s="243"/>
      <c r="AE1819" s="243"/>
    </row>
    <row r="1820">
      <c r="P1820" s="242"/>
      <c r="Q1820" s="207"/>
      <c r="U1820" s="243"/>
      <c r="V1820" s="243"/>
      <c r="W1820" s="243"/>
      <c r="X1820" s="243"/>
      <c r="Y1820" s="243"/>
      <c r="Z1820" s="243"/>
      <c r="AA1820" s="243"/>
      <c r="AB1820" s="243"/>
      <c r="AC1820" s="243"/>
      <c r="AD1820" s="243"/>
      <c r="AE1820" s="243"/>
    </row>
    <row r="1821">
      <c r="P1821" s="242"/>
      <c r="Q1821" s="207"/>
      <c r="U1821" s="243"/>
      <c r="V1821" s="243"/>
      <c r="W1821" s="243"/>
      <c r="X1821" s="243"/>
      <c r="Y1821" s="243"/>
      <c r="Z1821" s="243"/>
      <c r="AA1821" s="243"/>
      <c r="AB1821" s="243"/>
      <c r="AC1821" s="243"/>
      <c r="AD1821" s="243"/>
      <c r="AE1821" s="243"/>
    </row>
    <row r="1822">
      <c r="P1822" s="242"/>
      <c r="Q1822" s="207"/>
      <c r="U1822" s="243"/>
      <c r="V1822" s="243"/>
      <c r="W1822" s="243"/>
      <c r="X1822" s="243"/>
      <c r="Y1822" s="243"/>
      <c r="Z1822" s="243"/>
      <c r="AA1822" s="243"/>
      <c r="AB1822" s="243"/>
      <c r="AC1822" s="243"/>
      <c r="AD1822" s="243"/>
      <c r="AE1822" s="243"/>
    </row>
    <row r="1823">
      <c r="P1823" s="242"/>
      <c r="Q1823" s="207"/>
      <c r="U1823" s="243"/>
      <c r="V1823" s="243"/>
      <c r="W1823" s="243"/>
      <c r="X1823" s="243"/>
      <c r="Y1823" s="243"/>
      <c r="Z1823" s="243"/>
      <c r="AA1823" s="243"/>
      <c r="AB1823" s="243"/>
      <c r="AC1823" s="243"/>
      <c r="AD1823" s="243"/>
      <c r="AE1823" s="243"/>
    </row>
    <row r="1824">
      <c r="P1824" s="242"/>
      <c r="Q1824" s="207"/>
      <c r="U1824" s="243"/>
      <c r="V1824" s="243"/>
      <c r="W1824" s="243"/>
      <c r="X1824" s="243"/>
      <c r="Y1824" s="243"/>
      <c r="Z1824" s="243"/>
      <c r="AA1824" s="243"/>
      <c r="AB1824" s="243"/>
      <c r="AC1824" s="243"/>
      <c r="AD1824" s="243"/>
      <c r="AE1824" s="243"/>
    </row>
    <row r="1825">
      <c r="P1825" s="242"/>
      <c r="Q1825" s="207"/>
      <c r="U1825" s="243"/>
      <c r="V1825" s="243"/>
      <c r="W1825" s="243"/>
      <c r="X1825" s="243"/>
      <c r="Y1825" s="243"/>
      <c r="Z1825" s="243"/>
      <c r="AA1825" s="243"/>
      <c r="AB1825" s="243"/>
      <c r="AC1825" s="243"/>
      <c r="AD1825" s="243"/>
      <c r="AE1825" s="243"/>
    </row>
    <row r="1826">
      <c r="P1826" s="242"/>
      <c r="Q1826" s="207"/>
      <c r="U1826" s="243"/>
      <c r="V1826" s="243"/>
      <c r="W1826" s="243"/>
      <c r="X1826" s="243"/>
      <c r="Y1826" s="243"/>
      <c r="Z1826" s="243"/>
      <c r="AA1826" s="243"/>
      <c r="AB1826" s="243"/>
      <c r="AC1826" s="243"/>
      <c r="AD1826" s="243"/>
      <c r="AE1826" s="243"/>
    </row>
    <row r="1827">
      <c r="P1827" s="242"/>
      <c r="Q1827" s="207"/>
      <c r="U1827" s="243"/>
      <c r="V1827" s="243"/>
      <c r="W1827" s="243"/>
      <c r="X1827" s="243"/>
      <c r="Y1827" s="243"/>
      <c r="Z1827" s="243"/>
      <c r="AA1827" s="243"/>
      <c r="AB1827" s="243"/>
      <c r="AC1827" s="243"/>
      <c r="AD1827" s="243"/>
      <c r="AE1827" s="243"/>
    </row>
    <row r="1828">
      <c r="P1828" s="242"/>
      <c r="Q1828" s="207"/>
      <c r="U1828" s="243"/>
      <c r="V1828" s="243"/>
      <c r="W1828" s="243"/>
      <c r="X1828" s="243"/>
      <c r="Y1828" s="243"/>
      <c r="Z1828" s="243"/>
      <c r="AA1828" s="243"/>
      <c r="AB1828" s="243"/>
      <c r="AC1828" s="243"/>
      <c r="AD1828" s="243"/>
      <c r="AE1828" s="243"/>
    </row>
    <row r="1829">
      <c r="P1829" s="242"/>
      <c r="Q1829" s="207"/>
      <c r="U1829" s="243"/>
      <c r="V1829" s="243"/>
      <c r="W1829" s="243"/>
      <c r="X1829" s="243"/>
      <c r="Y1829" s="243"/>
      <c r="Z1829" s="243"/>
      <c r="AA1829" s="243"/>
      <c r="AB1829" s="243"/>
      <c r="AC1829" s="243"/>
      <c r="AD1829" s="243"/>
      <c r="AE1829" s="243"/>
    </row>
    <row r="1830">
      <c r="P1830" s="242"/>
      <c r="Q1830" s="207"/>
      <c r="U1830" s="243"/>
      <c r="V1830" s="243"/>
      <c r="W1830" s="243"/>
      <c r="X1830" s="243"/>
      <c r="Y1830" s="243"/>
      <c r="Z1830" s="243"/>
      <c r="AA1830" s="243"/>
      <c r="AB1830" s="243"/>
      <c r="AC1830" s="243"/>
      <c r="AD1830" s="243"/>
      <c r="AE1830" s="243"/>
    </row>
    <row r="1831">
      <c r="P1831" s="242"/>
      <c r="Q1831" s="207"/>
      <c r="U1831" s="243"/>
      <c r="V1831" s="243"/>
      <c r="W1831" s="243"/>
      <c r="X1831" s="243"/>
      <c r="Y1831" s="243"/>
      <c r="Z1831" s="243"/>
      <c r="AA1831" s="243"/>
      <c r="AB1831" s="243"/>
      <c r="AC1831" s="243"/>
      <c r="AD1831" s="243"/>
      <c r="AE1831" s="243"/>
    </row>
    <row r="1832">
      <c r="P1832" s="242"/>
      <c r="Q1832" s="207"/>
      <c r="U1832" s="243"/>
      <c r="V1832" s="243"/>
      <c r="W1832" s="243"/>
      <c r="X1832" s="243"/>
      <c r="Y1832" s="243"/>
      <c r="Z1832" s="243"/>
      <c r="AA1832" s="243"/>
      <c r="AB1832" s="243"/>
      <c r="AC1832" s="243"/>
      <c r="AD1832" s="243"/>
      <c r="AE1832" s="243"/>
    </row>
    <row r="1833">
      <c r="P1833" s="242"/>
      <c r="Q1833" s="207"/>
      <c r="U1833" s="243"/>
      <c r="V1833" s="243"/>
      <c r="W1833" s="243"/>
      <c r="X1833" s="243"/>
      <c r="Y1833" s="243"/>
      <c r="Z1833" s="243"/>
      <c r="AA1833" s="243"/>
      <c r="AB1833" s="243"/>
      <c r="AC1833" s="243"/>
      <c r="AD1833" s="243"/>
      <c r="AE1833" s="243"/>
    </row>
    <row r="1834">
      <c r="P1834" s="242"/>
      <c r="Q1834" s="207"/>
      <c r="U1834" s="243"/>
      <c r="V1834" s="243"/>
      <c r="W1834" s="243"/>
      <c r="X1834" s="243"/>
      <c r="Y1834" s="243"/>
      <c r="Z1834" s="243"/>
      <c r="AA1834" s="243"/>
      <c r="AB1834" s="243"/>
      <c r="AC1834" s="243"/>
      <c r="AD1834" s="243"/>
      <c r="AE1834" s="243"/>
    </row>
    <row r="1835">
      <c r="P1835" s="242"/>
      <c r="Q1835" s="207"/>
      <c r="U1835" s="243"/>
      <c r="V1835" s="243"/>
      <c r="W1835" s="243"/>
      <c r="X1835" s="243"/>
      <c r="Y1835" s="243"/>
      <c r="Z1835" s="243"/>
      <c r="AA1835" s="243"/>
      <c r="AB1835" s="243"/>
      <c r="AC1835" s="243"/>
      <c r="AD1835" s="243"/>
      <c r="AE1835" s="243"/>
    </row>
    <row r="1836">
      <c r="P1836" s="242"/>
      <c r="Q1836" s="207"/>
      <c r="U1836" s="243"/>
      <c r="V1836" s="243"/>
      <c r="W1836" s="243"/>
      <c r="X1836" s="243"/>
      <c r="Y1836" s="243"/>
      <c r="Z1836" s="243"/>
      <c r="AA1836" s="243"/>
      <c r="AB1836" s="243"/>
      <c r="AC1836" s="243"/>
      <c r="AD1836" s="243"/>
      <c r="AE1836" s="243"/>
    </row>
    <row r="1837">
      <c r="P1837" s="242"/>
      <c r="Q1837" s="207"/>
      <c r="U1837" s="243"/>
      <c r="V1837" s="243"/>
      <c r="W1837" s="243"/>
      <c r="X1837" s="243"/>
      <c r="Y1837" s="243"/>
      <c r="Z1837" s="243"/>
      <c r="AA1837" s="243"/>
      <c r="AB1837" s="243"/>
      <c r="AC1837" s="243"/>
      <c r="AD1837" s="243"/>
      <c r="AE1837" s="243"/>
    </row>
    <row r="1838">
      <c r="P1838" s="242"/>
      <c r="Q1838" s="207"/>
      <c r="U1838" s="243"/>
      <c r="V1838" s="243"/>
      <c r="W1838" s="243"/>
      <c r="X1838" s="243"/>
      <c r="Y1838" s="243"/>
      <c r="Z1838" s="243"/>
      <c r="AA1838" s="243"/>
      <c r="AB1838" s="243"/>
      <c r="AC1838" s="243"/>
      <c r="AD1838" s="243"/>
      <c r="AE1838" s="243"/>
    </row>
    <row r="1839">
      <c r="P1839" s="242"/>
      <c r="Q1839" s="207"/>
      <c r="U1839" s="243"/>
      <c r="V1839" s="243"/>
      <c r="W1839" s="243"/>
      <c r="X1839" s="243"/>
      <c r="Y1839" s="243"/>
      <c r="Z1839" s="243"/>
      <c r="AA1839" s="243"/>
      <c r="AB1839" s="243"/>
      <c r="AC1839" s="243"/>
      <c r="AD1839" s="243"/>
      <c r="AE1839" s="243"/>
    </row>
    <row r="1840">
      <c r="P1840" s="242"/>
      <c r="Q1840" s="207"/>
      <c r="U1840" s="243"/>
      <c r="V1840" s="243"/>
      <c r="W1840" s="243"/>
      <c r="X1840" s="243"/>
      <c r="Y1840" s="243"/>
      <c r="Z1840" s="243"/>
      <c r="AA1840" s="243"/>
      <c r="AB1840" s="243"/>
      <c r="AC1840" s="243"/>
      <c r="AD1840" s="243"/>
      <c r="AE1840" s="243"/>
    </row>
    <row r="1841">
      <c r="P1841" s="242"/>
      <c r="Q1841" s="207"/>
      <c r="U1841" s="243"/>
      <c r="V1841" s="243"/>
      <c r="W1841" s="243"/>
      <c r="X1841" s="243"/>
      <c r="Y1841" s="243"/>
      <c r="Z1841" s="243"/>
      <c r="AA1841" s="243"/>
      <c r="AB1841" s="243"/>
      <c r="AC1841" s="243"/>
      <c r="AD1841" s="243"/>
      <c r="AE1841" s="243"/>
    </row>
    <row r="1842">
      <c r="P1842" s="242"/>
      <c r="Q1842" s="207"/>
      <c r="U1842" s="243"/>
      <c r="V1842" s="243"/>
      <c r="W1842" s="243"/>
      <c r="X1842" s="243"/>
      <c r="Y1842" s="243"/>
      <c r="Z1842" s="243"/>
      <c r="AA1842" s="243"/>
      <c r="AB1842" s="243"/>
      <c r="AC1842" s="243"/>
      <c r="AD1842" s="243"/>
      <c r="AE1842" s="243"/>
    </row>
    <row r="1843">
      <c r="P1843" s="242"/>
      <c r="Q1843" s="207"/>
      <c r="U1843" s="243"/>
      <c r="V1843" s="243"/>
      <c r="W1843" s="243"/>
      <c r="X1843" s="243"/>
      <c r="Y1843" s="243"/>
      <c r="Z1843" s="243"/>
      <c r="AA1843" s="243"/>
      <c r="AB1843" s="243"/>
      <c r="AC1843" s="243"/>
      <c r="AD1843" s="243"/>
      <c r="AE1843" s="243"/>
    </row>
    <row r="1844">
      <c r="P1844" s="242"/>
      <c r="Q1844" s="207"/>
      <c r="U1844" s="243"/>
      <c r="V1844" s="243"/>
      <c r="W1844" s="243"/>
      <c r="X1844" s="243"/>
      <c r="Y1844" s="243"/>
      <c r="Z1844" s="243"/>
      <c r="AA1844" s="243"/>
      <c r="AB1844" s="243"/>
      <c r="AC1844" s="243"/>
      <c r="AD1844" s="243"/>
      <c r="AE1844" s="243"/>
    </row>
    <row r="1845">
      <c r="P1845" s="242"/>
      <c r="Q1845" s="207"/>
      <c r="U1845" s="243"/>
      <c r="V1845" s="243"/>
      <c r="W1845" s="243"/>
      <c r="X1845" s="243"/>
      <c r="Y1845" s="243"/>
      <c r="Z1845" s="243"/>
      <c r="AA1845" s="243"/>
      <c r="AB1845" s="243"/>
      <c r="AC1845" s="243"/>
      <c r="AD1845" s="243"/>
      <c r="AE1845" s="243"/>
    </row>
    <row r="1846">
      <c r="P1846" s="242"/>
      <c r="Q1846" s="207"/>
      <c r="U1846" s="243"/>
      <c r="V1846" s="243"/>
      <c r="W1846" s="243"/>
      <c r="X1846" s="243"/>
      <c r="Y1846" s="243"/>
      <c r="Z1846" s="243"/>
      <c r="AA1846" s="243"/>
      <c r="AB1846" s="243"/>
      <c r="AC1846" s="243"/>
      <c r="AD1846" s="243"/>
      <c r="AE1846" s="243"/>
    </row>
    <row r="1847">
      <c r="P1847" s="242"/>
      <c r="Q1847" s="207"/>
      <c r="U1847" s="243"/>
      <c r="V1847" s="243"/>
      <c r="W1847" s="243"/>
      <c r="X1847" s="243"/>
      <c r="Y1847" s="243"/>
      <c r="Z1847" s="243"/>
      <c r="AA1847" s="243"/>
      <c r="AB1847" s="243"/>
      <c r="AC1847" s="243"/>
      <c r="AD1847" s="243"/>
      <c r="AE1847" s="243"/>
    </row>
    <row r="1848">
      <c r="P1848" s="242"/>
      <c r="Q1848" s="207"/>
      <c r="U1848" s="243"/>
      <c r="V1848" s="243"/>
      <c r="W1848" s="243"/>
      <c r="X1848" s="243"/>
      <c r="Y1848" s="243"/>
      <c r="Z1848" s="243"/>
      <c r="AA1848" s="243"/>
      <c r="AB1848" s="243"/>
      <c r="AC1848" s="243"/>
      <c r="AD1848" s="243"/>
      <c r="AE1848" s="243"/>
    </row>
    <row r="1849">
      <c r="P1849" s="242"/>
      <c r="Q1849" s="207"/>
      <c r="U1849" s="243"/>
      <c r="V1849" s="243"/>
      <c r="W1849" s="243"/>
      <c r="X1849" s="243"/>
      <c r="Y1849" s="243"/>
      <c r="Z1849" s="243"/>
      <c r="AA1849" s="243"/>
      <c r="AB1849" s="243"/>
      <c r="AC1849" s="243"/>
      <c r="AD1849" s="243"/>
      <c r="AE1849" s="243"/>
    </row>
    <row r="1850">
      <c r="P1850" s="242"/>
      <c r="Q1850" s="207"/>
      <c r="U1850" s="243"/>
      <c r="V1850" s="243"/>
      <c r="W1850" s="243"/>
      <c r="X1850" s="243"/>
      <c r="Y1850" s="243"/>
      <c r="Z1850" s="243"/>
      <c r="AA1850" s="243"/>
      <c r="AB1850" s="243"/>
      <c r="AC1850" s="243"/>
      <c r="AD1850" s="243"/>
      <c r="AE1850" s="243"/>
    </row>
    <row r="1851">
      <c r="P1851" s="242"/>
      <c r="Q1851" s="207"/>
      <c r="U1851" s="243"/>
      <c r="V1851" s="243"/>
      <c r="W1851" s="243"/>
      <c r="X1851" s="243"/>
      <c r="Y1851" s="243"/>
      <c r="Z1851" s="243"/>
      <c r="AA1851" s="243"/>
      <c r="AB1851" s="243"/>
      <c r="AC1851" s="243"/>
      <c r="AD1851" s="243"/>
      <c r="AE1851" s="243"/>
    </row>
    <row r="1852">
      <c r="P1852" s="242"/>
      <c r="Q1852" s="207"/>
      <c r="U1852" s="243"/>
      <c r="V1852" s="243"/>
      <c r="W1852" s="243"/>
      <c r="X1852" s="243"/>
      <c r="Y1852" s="243"/>
      <c r="Z1852" s="243"/>
      <c r="AA1852" s="243"/>
      <c r="AB1852" s="243"/>
      <c r="AC1852" s="243"/>
      <c r="AD1852" s="243"/>
      <c r="AE1852" s="243"/>
    </row>
    <row r="1853">
      <c r="P1853" s="242"/>
      <c r="Q1853" s="207"/>
      <c r="U1853" s="243"/>
      <c r="V1853" s="243"/>
      <c r="W1853" s="243"/>
      <c r="X1853" s="243"/>
      <c r="Y1853" s="243"/>
      <c r="Z1853" s="243"/>
      <c r="AA1853" s="243"/>
      <c r="AB1853" s="243"/>
      <c r="AC1853" s="243"/>
      <c r="AD1853" s="243"/>
      <c r="AE1853" s="243"/>
    </row>
    <row r="1854">
      <c r="P1854" s="242"/>
      <c r="Q1854" s="207"/>
      <c r="U1854" s="243"/>
      <c r="V1854" s="243"/>
      <c r="W1854" s="243"/>
      <c r="X1854" s="243"/>
      <c r="Y1854" s="243"/>
      <c r="Z1854" s="243"/>
      <c r="AA1854" s="243"/>
      <c r="AB1854" s="243"/>
      <c r="AC1854" s="243"/>
      <c r="AD1854" s="243"/>
      <c r="AE1854" s="243"/>
    </row>
    <row r="1855">
      <c r="P1855" s="242"/>
      <c r="Q1855" s="207"/>
      <c r="U1855" s="243"/>
      <c r="V1855" s="243"/>
      <c r="W1855" s="243"/>
      <c r="X1855" s="243"/>
      <c r="Y1855" s="243"/>
      <c r="Z1855" s="243"/>
      <c r="AA1855" s="243"/>
      <c r="AB1855" s="243"/>
      <c r="AC1855" s="243"/>
      <c r="AD1855" s="243"/>
      <c r="AE1855" s="243"/>
    </row>
    <row r="1856">
      <c r="P1856" s="242"/>
      <c r="Q1856" s="207"/>
      <c r="U1856" s="243"/>
      <c r="V1856" s="243"/>
      <c r="W1856" s="243"/>
      <c r="X1856" s="243"/>
      <c r="Y1856" s="243"/>
      <c r="Z1856" s="243"/>
      <c r="AA1856" s="243"/>
      <c r="AB1856" s="243"/>
      <c r="AC1856" s="243"/>
      <c r="AD1856" s="243"/>
      <c r="AE1856" s="243"/>
    </row>
    <row r="1857">
      <c r="P1857" s="242"/>
      <c r="Q1857" s="207"/>
      <c r="U1857" s="243"/>
      <c r="V1857" s="243"/>
      <c r="W1857" s="243"/>
      <c r="X1857" s="243"/>
      <c r="Y1857" s="243"/>
      <c r="Z1857" s="243"/>
      <c r="AA1857" s="243"/>
      <c r="AB1857" s="243"/>
      <c r="AC1857" s="243"/>
      <c r="AD1857" s="243"/>
      <c r="AE1857" s="243"/>
    </row>
    <row r="1858">
      <c r="P1858" s="242"/>
      <c r="Q1858" s="207"/>
      <c r="U1858" s="243"/>
      <c r="V1858" s="243"/>
      <c r="W1858" s="243"/>
      <c r="X1858" s="243"/>
      <c r="Y1858" s="243"/>
      <c r="Z1858" s="243"/>
      <c r="AA1858" s="243"/>
      <c r="AB1858" s="243"/>
      <c r="AC1858" s="243"/>
      <c r="AD1858" s="243"/>
      <c r="AE1858" s="243"/>
    </row>
    <row r="1859">
      <c r="P1859" s="242"/>
      <c r="Q1859" s="207"/>
      <c r="U1859" s="243"/>
      <c r="V1859" s="243"/>
      <c r="W1859" s="243"/>
      <c r="X1859" s="243"/>
      <c r="Y1859" s="243"/>
      <c r="Z1859" s="243"/>
      <c r="AA1859" s="243"/>
      <c r="AB1859" s="243"/>
      <c r="AC1859" s="243"/>
      <c r="AD1859" s="243"/>
      <c r="AE1859" s="243"/>
    </row>
    <row r="1860">
      <c r="P1860" s="242"/>
      <c r="Q1860" s="207"/>
      <c r="U1860" s="243"/>
      <c r="V1860" s="243"/>
      <c r="W1860" s="243"/>
      <c r="X1860" s="243"/>
      <c r="Y1860" s="243"/>
      <c r="Z1860" s="243"/>
      <c r="AA1860" s="243"/>
      <c r="AB1860" s="243"/>
      <c r="AC1860" s="243"/>
      <c r="AD1860" s="243"/>
      <c r="AE1860" s="243"/>
    </row>
    <row r="1861">
      <c r="P1861" s="242"/>
      <c r="Q1861" s="207"/>
      <c r="U1861" s="243"/>
      <c r="V1861" s="243"/>
      <c r="W1861" s="243"/>
      <c r="X1861" s="243"/>
      <c r="Y1861" s="243"/>
      <c r="Z1861" s="243"/>
      <c r="AA1861" s="243"/>
      <c r="AB1861" s="243"/>
      <c r="AC1861" s="243"/>
      <c r="AD1861" s="243"/>
      <c r="AE1861" s="243"/>
    </row>
    <row r="1862">
      <c r="P1862" s="242"/>
      <c r="Q1862" s="207"/>
      <c r="U1862" s="243"/>
      <c r="V1862" s="243"/>
      <c r="W1862" s="243"/>
      <c r="X1862" s="243"/>
      <c r="Y1862" s="243"/>
      <c r="Z1862" s="243"/>
      <c r="AA1862" s="243"/>
      <c r="AB1862" s="243"/>
      <c r="AC1862" s="243"/>
      <c r="AD1862" s="243"/>
      <c r="AE1862" s="243"/>
    </row>
    <row r="1863">
      <c r="P1863" s="242"/>
      <c r="Q1863" s="207"/>
      <c r="U1863" s="243"/>
      <c r="V1863" s="243"/>
      <c r="W1863" s="243"/>
      <c r="X1863" s="243"/>
      <c r="Y1863" s="243"/>
      <c r="Z1863" s="243"/>
      <c r="AA1863" s="243"/>
      <c r="AB1863" s="243"/>
      <c r="AC1863" s="243"/>
      <c r="AD1863" s="243"/>
      <c r="AE1863" s="243"/>
    </row>
    <row r="1864">
      <c r="P1864" s="242"/>
      <c r="Q1864" s="207"/>
      <c r="U1864" s="243"/>
      <c r="V1864" s="243"/>
      <c r="W1864" s="243"/>
      <c r="X1864" s="243"/>
      <c r="Y1864" s="243"/>
      <c r="Z1864" s="243"/>
      <c r="AA1864" s="243"/>
      <c r="AB1864" s="243"/>
      <c r="AC1864" s="243"/>
      <c r="AD1864" s="243"/>
      <c r="AE1864" s="243"/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AA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AA142"/>
    <hyperlink r:id="rId144" ref="T143"/>
    <hyperlink r:id="rId145" ref="T144"/>
    <hyperlink r:id="rId146" ref="T145"/>
    <hyperlink r:id="rId147" ref="T146"/>
    <hyperlink r:id="rId148" ref="T147"/>
    <hyperlink r:id="rId149" ref="T148"/>
    <hyperlink r:id="rId150" ref="T149"/>
    <hyperlink r:id="rId151" ref="T150"/>
    <hyperlink r:id="rId152" ref="T151"/>
    <hyperlink r:id="rId153" ref="T152"/>
    <hyperlink r:id="rId154" ref="T153"/>
    <hyperlink r:id="rId155" ref="T154"/>
    <hyperlink r:id="rId156" ref="T155"/>
    <hyperlink r:id="rId157" ref="T156"/>
    <hyperlink r:id="rId158" ref="T157"/>
    <hyperlink r:id="rId159" ref="T158"/>
    <hyperlink r:id="rId160" ref="T159"/>
    <hyperlink r:id="rId161" ref="T160"/>
    <hyperlink r:id="rId162" ref="T161"/>
    <hyperlink r:id="rId163" ref="T162"/>
    <hyperlink r:id="rId164" ref="T163"/>
    <hyperlink r:id="rId165" ref="T164"/>
    <hyperlink r:id="rId166" ref="T165"/>
    <hyperlink r:id="rId167" ref="T166"/>
    <hyperlink r:id="rId168" ref="T167"/>
    <hyperlink r:id="rId169" ref="T168"/>
    <hyperlink r:id="rId170" ref="T169"/>
    <hyperlink r:id="rId171" ref="T170"/>
    <hyperlink r:id="rId172" ref="T171"/>
    <hyperlink r:id="rId173" ref="T172"/>
    <hyperlink r:id="rId174" ref="T173"/>
    <hyperlink r:id="rId175" ref="T174"/>
    <hyperlink r:id="rId176" ref="T175"/>
    <hyperlink r:id="rId177" ref="T176"/>
    <hyperlink r:id="rId178" ref="T177"/>
    <hyperlink r:id="rId179" ref="T178"/>
    <hyperlink r:id="rId180" ref="T179"/>
    <hyperlink r:id="rId181" ref="T180"/>
    <hyperlink r:id="rId182" ref="T181"/>
    <hyperlink r:id="rId183" ref="T182"/>
    <hyperlink r:id="rId184" ref="T183"/>
    <hyperlink r:id="rId185" ref="T184"/>
    <hyperlink r:id="rId186" ref="T185"/>
    <hyperlink r:id="rId187" ref="T186"/>
    <hyperlink r:id="rId188" ref="T187"/>
    <hyperlink r:id="rId189" ref="T188"/>
    <hyperlink r:id="rId190" ref="T189"/>
    <hyperlink r:id="rId191" ref="T190"/>
    <hyperlink r:id="rId192" ref="T191"/>
    <hyperlink r:id="rId193" ref="T192"/>
    <hyperlink r:id="rId194" ref="T193"/>
    <hyperlink r:id="rId195" ref="T194"/>
    <hyperlink r:id="rId196" ref="T195"/>
    <hyperlink r:id="rId197" ref="T196"/>
    <hyperlink r:id="rId198" ref="T197"/>
    <hyperlink r:id="rId199" ref="T198"/>
    <hyperlink r:id="rId200" ref="T199"/>
    <hyperlink r:id="rId201" ref="T200"/>
    <hyperlink r:id="rId202" ref="T201"/>
    <hyperlink r:id="rId203" ref="T202"/>
    <hyperlink r:id="rId204" ref="T203"/>
    <hyperlink r:id="rId205" ref="T204"/>
    <hyperlink r:id="rId206" ref="T205"/>
    <hyperlink r:id="rId207" ref="T206"/>
    <hyperlink r:id="rId208" ref="T207"/>
    <hyperlink r:id="rId209" ref="T208"/>
    <hyperlink r:id="rId210" ref="T209"/>
    <hyperlink r:id="rId211" ref="T210"/>
    <hyperlink r:id="rId212" ref="T211"/>
    <hyperlink r:id="rId213" ref="T212"/>
    <hyperlink r:id="rId214" ref="T213"/>
    <hyperlink r:id="rId215" ref="T214"/>
    <hyperlink r:id="rId216" ref="T215"/>
    <hyperlink r:id="rId217" ref="T216"/>
    <hyperlink r:id="rId218" ref="T217"/>
    <hyperlink r:id="rId219" ref="T218"/>
    <hyperlink r:id="rId220" ref="T219"/>
    <hyperlink r:id="rId221" ref="T220"/>
    <hyperlink r:id="rId222" ref="T221"/>
    <hyperlink r:id="rId223" ref="T222"/>
    <hyperlink r:id="rId224" ref="T223"/>
    <hyperlink r:id="rId225" ref="T224"/>
    <hyperlink r:id="rId226" ref="T225"/>
    <hyperlink r:id="rId227" ref="T226"/>
    <hyperlink r:id="rId228" ref="T227"/>
    <hyperlink r:id="rId229" ref="T228"/>
    <hyperlink r:id="rId230" ref="T229"/>
    <hyperlink r:id="rId231" ref="T230"/>
    <hyperlink r:id="rId232" ref="T231"/>
    <hyperlink r:id="rId233" ref="T232"/>
    <hyperlink r:id="rId234" ref="T233"/>
    <hyperlink r:id="rId235" ref="T234"/>
    <hyperlink r:id="rId236" ref="T235"/>
    <hyperlink r:id="rId237" ref="T236"/>
    <hyperlink r:id="rId238" ref="T237"/>
    <hyperlink r:id="rId239" ref="T238"/>
    <hyperlink r:id="rId240" ref="T239"/>
    <hyperlink r:id="rId241" ref="T240"/>
    <hyperlink r:id="rId242" ref="T241"/>
    <hyperlink r:id="rId243" ref="T242"/>
    <hyperlink r:id="rId244" ref="T243"/>
    <hyperlink r:id="rId245" ref="T244"/>
    <hyperlink r:id="rId246" ref="T245"/>
    <hyperlink r:id="rId247" ref="T246"/>
    <hyperlink r:id="rId248" ref="T247"/>
    <hyperlink r:id="rId249" ref="T248"/>
    <hyperlink r:id="rId250" ref="T249"/>
    <hyperlink r:id="rId251" ref="T250"/>
    <hyperlink r:id="rId252" ref="T251"/>
    <hyperlink r:id="rId253" ref="T252"/>
    <hyperlink r:id="rId254" ref="T253"/>
    <hyperlink r:id="rId255" ref="T254"/>
    <hyperlink r:id="rId256" ref="T255"/>
    <hyperlink r:id="rId257" ref="T256"/>
    <hyperlink r:id="rId258" ref="T257"/>
    <hyperlink r:id="rId259" ref="T258"/>
    <hyperlink r:id="rId260" ref="T259"/>
    <hyperlink r:id="rId261" ref="T260"/>
    <hyperlink r:id="rId262" ref="T261"/>
    <hyperlink r:id="rId263" ref="T262"/>
    <hyperlink r:id="rId264" ref="T263"/>
    <hyperlink r:id="rId265" ref="T264"/>
    <hyperlink r:id="rId266" ref="T265"/>
    <hyperlink r:id="rId267" ref="T266"/>
    <hyperlink r:id="rId268" ref="T267"/>
    <hyperlink r:id="rId269" ref="T268"/>
    <hyperlink r:id="rId270" ref="T269"/>
    <hyperlink r:id="rId271" ref="T270"/>
    <hyperlink r:id="rId272" ref="T271"/>
    <hyperlink r:id="rId273" ref="T272"/>
    <hyperlink r:id="rId274" ref="T273"/>
    <hyperlink r:id="rId275" ref="T274"/>
  </hyperlinks>
  <drawing r:id="rId2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7" max="7" width="18.63"/>
    <col customWidth="1" min="12" max="12" width="13.38"/>
    <col customWidth="1" min="13" max="13" width="42.25"/>
    <col customWidth="1" min="14" max="14" width="39.75"/>
    <col customWidth="1" min="15" max="15" width="22.38"/>
    <col customWidth="1" min="17" max="17" width="17.13"/>
    <col customWidth="1" min="18" max="18" width="15.5" outlineLevel="1"/>
    <col min="19" max="19" width="12.63" outlineLevel="1"/>
    <col customWidth="1" min="20" max="20" width="17.75" outlineLevel="1"/>
    <col customWidth="1" min="21" max="21" width="21.88" outlineLevel="1"/>
    <col customWidth="1" min="22" max="22" width="73.13" outlineLevel="1"/>
    <col customWidth="1" min="23" max="23" width="18.13" outlineLevel="1"/>
  </cols>
  <sheetData>
    <row r="1">
      <c r="A1" s="1"/>
      <c r="B1" s="1"/>
      <c r="C1" s="2" t="s">
        <v>0</v>
      </c>
      <c r="D1" s="3" t="s">
        <v>2</v>
      </c>
      <c r="E1" s="4"/>
      <c r="F1" s="5"/>
      <c r="G1" s="6" t="s">
        <v>5</v>
      </c>
      <c r="H1" s="3" t="s">
        <v>7</v>
      </c>
      <c r="I1" s="7"/>
      <c r="J1" s="8"/>
      <c r="K1" s="2" t="s">
        <v>10</v>
      </c>
      <c r="L1" s="2" t="s">
        <v>11</v>
      </c>
      <c r="M1" s="9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13" t="s">
        <v>18</v>
      </c>
      <c r="S1" s="16" t="s">
        <v>21</v>
      </c>
      <c r="T1" s="17" t="s">
        <v>12</v>
      </c>
      <c r="U1" s="17" t="s">
        <v>25</v>
      </c>
      <c r="V1" s="19" t="s">
        <v>26</v>
      </c>
      <c r="W1" s="21" t="s">
        <v>28</v>
      </c>
    </row>
    <row r="2">
      <c r="A2" s="15">
        <v>1.0</v>
      </c>
      <c r="B2" s="15">
        <v>1.0</v>
      </c>
      <c r="C2" s="22">
        <v>1.0</v>
      </c>
      <c r="D2" s="24" t="s">
        <v>32</v>
      </c>
      <c r="E2" s="26" t="s">
        <v>35</v>
      </c>
      <c r="F2" s="29" t="s">
        <v>37</v>
      </c>
      <c r="G2" s="37" t="str">
        <f t="shared" ref="G2:G28" si="1">D2&amp;" "&amp;E2&amp;" "&amp;F2</f>
        <v>พ.ท. วีระพงศ์ จันทรศิริภาส</v>
      </c>
      <c r="H2" s="24" t="s">
        <v>62</v>
      </c>
      <c r="I2" s="26" t="s">
        <v>63</v>
      </c>
      <c r="J2" s="29" t="s">
        <v>64</v>
      </c>
      <c r="K2" s="39">
        <v>1.455601717E9</v>
      </c>
      <c r="L2" s="39">
        <v>1.909900040261E12</v>
      </c>
      <c r="M2" s="40" t="s">
        <v>68</v>
      </c>
      <c r="N2" s="29" t="s">
        <v>69</v>
      </c>
      <c r="O2" s="29" t="s">
        <v>71</v>
      </c>
      <c r="P2" s="39" t="s">
        <v>72</v>
      </c>
      <c r="Q2" s="39" t="s">
        <v>73</v>
      </c>
      <c r="R2" s="42">
        <v>8.98764145E8</v>
      </c>
      <c r="S2" s="43"/>
      <c r="T2" s="45" t="s">
        <v>31</v>
      </c>
      <c r="U2" s="46"/>
      <c r="V2" s="51" t="s">
        <v>78</v>
      </c>
      <c r="W2" s="53">
        <v>31021.0</v>
      </c>
    </row>
    <row r="3">
      <c r="A3" s="15">
        <v>2.0</v>
      </c>
      <c r="B3" s="15">
        <v>2.0</v>
      </c>
      <c r="C3" s="22">
        <v>2.0</v>
      </c>
      <c r="D3" s="24" t="s">
        <v>88</v>
      </c>
      <c r="E3" s="26" t="s">
        <v>89</v>
      </c>
      <c r="F3" s="29" t="s">
        <v>90</v>
      </c>
      <c r="G3" s="47" t="str">
        <f t="shared" si="1"/>
        <v>พ.ต. นฤเบศร์ บุญคุ้ม</v>
      </c>
      <c r="H3" s="24" t="s">
        <v>91</v>
      </c>
      <c r="I3" s="26" t="s">
        <v>92</v>
      </c>
      <c r="J3" s="29" t="s">
        <v>93</v>
      </c>
      <c r="K3" s="39">
        <v>1.520802081E9</v>
      </c>
      <c r="L3" s="39">
        <v>1.200100337887E12</v>
      </c>
      <c r="M3" s="40" t="s">
        <v>94</v>
      </c>
      <c r="N3" s="29" t="s">
        <v>95</v>
      </c>
      <c r="O3" s="29" t="s">
        <v>96</v>
      </c>
      <c r="P3" s="39" t="s">
        <v>72</v>
      </c>
      <c r="Q3" s="39" t="s">
        <v>73</v>
      </c>
      <c r="R3" s="42">
        <v>9.57966251E8</v>
      </c>
      <c r="S3" s="43"/>
      <c r="T3" s="45" t="s">
        <v>31</v>
      </c>
      <c r="U3" s="46"/>
      <c r="V3" s="61" t="s">
        <v>97</v>
      </c>
      <c r="W3" s="62">
        <v>33296.0</v>
      </c>
    </row>
    <row r="4">
      <c r="A4" s="15">
        <v>3.0</v>
      </c>
      <c r="B4" s="15">
        <v>3.0</v>
      </c>
      <c r="C4" s="22">
        <v>3.0</v>
      </c>
      <c r="D4" s="24" t="s">
        <v>109</v>
      </c>
      <c r="E4" s="26" t="s">
        <v>110</v>
      </c>
      <c r="F4" s="29" t="s">
        <v>112</v>
      </c>
      <c r="G4" s="47" t="str">
        <f t="shared" si="1"/>
        <v>ร.อ. พัฒนศักดิ์ บุญประเสริฐ</v>
      </c>
      <c r="H4" s="24" t="s">
        <v>115</v>
      </c>
      <c r="I4" s="26" t="s">
        <v>116</v>
      </c>
      <c r="J4" s="29" t="s">
        <v>117</v>
      </c>
      <c r="K4" s="39">
        <v>1.494900475E9</v>
      </c>
      <c r="L4" s="39">
        <v>1.700200038909E12</v>
      </c>
      <c r="M4" s="40" t="s">
        <v>121</v>
      </c>
      <c r="N4" s="29" t="s">
        <v>122</v>
      </c>
      <c r="O4" s="29" t="s">
        <v>123</v>
      </c>
      <c r="P4" s="15" t="s">
        <v>72</v>
      </c>
      <c r="Q4" s="22" t="s">
        <v>73</v>
      </c>
      <c r="R4" s="42">
        <v>8.77540373E8</v>
      </c>
      <c r="S4" s="43"/>
      <c r="T4" s="45" t="s">
        <v>31</v>
      </c>
      <c r="U4" s="46"/>
      <c r="V4" s="66" t="s">
        <v>125</v>
      </c>
      <c r="W4" s="53">
        <v>32136.0</v>
      </c>
    </row>
    <row r="5">
      <c r="A5" s="15">
        <v>4.0</v>
      </c>
      <c r="B5" s="15">
        <v>4.0</v>
      </c>
      <c r="C5" s="22">
        <v>4.0</v>
      </c>
      <c r="D5" s="24" t="s">
        <v>88</v>
      </c>
      <c r="E5" s="26" t="s">
        <v>127</v>
      </c>
      <c r="F5" s="29" t="s">
        <v>128</v>
      </c>
      <c r="G5" s="47" t="str">
        <f t="shared" si="1"/>
        <v>พ.ต. ครรชิต โสภาสาย</v>
      </c>
      <c r="H5" s="24" t="s">
        <v>91</v>
      </c>
      <c r="I5" s="26" t="s">
        <v>129</v>
      </c>
      <c r="J5" s="29" t="s">
        <v>130</v>
      </c>
      <c r="K5" s="39">
        <v>1.495000342E9</v>
      </c>
      <c r="L5" s="39">
        <v>1.160100207402E12</v>
      </c>
      <c r="M5" s="40" t="s">
        <v>131</v>
      </c>
      <c r="N5" s="29" t="s">
        <v>95</v>
      </c>
      <c r="O5" s="29" t="s">
        <v>132</v>
      </c>
      <c r="P5" s="39" t="s">
        <v>85</v>
      </c>
      <c r="Q5" s="39" t="s">
        <v>73</v>
      </c>
      <c r="R5" s="67">
        <v>9.10568849E8</v>
      </c>
      <c r="S5" s="43"/>
      <c r="T5" s="45" t="s">
        <v>31</v>
      </c>
      <c r="U5" s="46"/>
      <c r="V5" s="66" t="s">
        <v>133</v>
      </c>
      <c r="W5" s="57">
        <v>32159.0</v>
      </c>
    </row>
    <row r="6">
      <c r="A6" s="15">
        <v>5.0</v>
      </c>
      <c r="B6" s="15">
        <v>5.0</v>
      </c>
      <c r="C6" s="22">
        <v>5.0</v>
      </c>
      <c r="D6" s="24" t="s">
        <v>109</v>
      </c>
      <c r="E6" s="26" t="s">
        <v>146</v>
      </c>
      <c r="F6" s="29" t="s">
        <v>147</v>
      </c>
      <c r="G6" s="47" t="str">
        <f t="shared" si="1"/>
        <v>ร.อ. วีรวัฒน์ เลาอารีกิจ</v>
      </c>
      <c r="H6" s="24" t="s">
        <v>115</v>
      </c>
      <c r="I6" s="26" t="s">
        <v>150</v>
      </c>
      <c r="J6" s="29" t="s">
        <v>151</v>
      </c>
      <c r="K6" s="39">
        <v>1.482800925E9</v>
      </c>
      <c r="L6" s="39">
        <v>1.311100021782E12</v>
      </c>
      <c r="M6" s="40" t="s">
        <v>152</v>
      </c>
      <c r="N6" s="29" t="s">
        <v>153</v>
      </c>
      <c r="O6" s="29" t="s">
        <v>154</v>
      </c>
      <c r="P6" s="39" t="s">
        <v>155</v>
      </c>
      <c r="Q6" s="39" t="s">
        <v>73</v>
      </c>
      <c r="R6" s="42">
        <v>8.71669123E8</v>
      </c>
      <c r="S6" s="43"/>
      <c r="T6" s="45" t="s">
        <v>31</v>
      </c>
      <c r="U6" s="46"/>
      <c r="V6" s="66" t="s">
        <v>156</v>
      </c>
      <c r="W6" s="53">
        <v>30690.0</v>
      </c>
    </row>
    <row r="7" hidden="1">
      <c r="A7" s="15">
        <v>6.0</v>
      </c>
      <c r="B7" s="15">
        <v>6.0</v>
      </c>
      <c r="C7" s="22">
        <v>6.0</v>
      </c>
      <c r="D7" s="24" t="s">
        <v>54</v>
      </c>
      <c r="E7" s="72" t="s">
        <v>159</v>
      </c>
      <c r="F7" s="50" t="s">
        <v>163</v>
      </c>
      <c r="G7" s="47" t="str">
        <f t="shared" si="1"/>
        <v>ร.ท.หญิง ทิพวรรณ บุญหวา</v>
      </c>
      <c r="H7" s="24" t="s">
        <v>80</v>
      </c>
      <c r="I7" s="26" t="s">
        <v>164</v>
      </c>
      <c r="J7" s="29" t="s">
        <v>165</v>
      </c>
      <c r="K7" s="39">
        <v>6.4910505E9</v>
      </c>
      <c r="L7" s="39">
        <v>1.640500026036E12</v>
      </c>
      <c r="M7" s="40" t="s">
        <v>166</v>
      </c>
      <c r="N7" s="29" t="s">
        <v>167</v>
      </c>
      <c r="O7" s="29" t="s">
        <v>123</v>
      </c>
      <c r="P7" s="39" t="s">
        <v>72</v>
      </c>
      <c r="Q7" s="39" t="s">
        <v>27</v>
      </c>
      <c r="R7" s="42">
        <v>8.50397199E8</v>
      </c>
      <c r="S7" s="43"/>
      <c r="T7" s="45" t="s">
        <v>31</v>
      </c>
      <c r="U7" s="46"/>
      <c r="V7" s="66" t="s">
        <v>168</v>
      </c>
      <c r="W7" s="57">
        <v>31417.0</v>
      </c>
    </row>
    <row r="8">
      <c r="A8" s="15">
        <v>7.0</v>
      </c>
      <c r="B8" s="15">
        <v>7.0</v>
      </c>
      <c r="C8" s="22">
        <v>7.0</v>
      </c>
      <c r="D8" s="76" t="s">
        <v>135</v>
      </c>
      <c r="E8" s="72" t="s">
        <v>180</v>
      </c>
      <c r="F8" s="50" t="s">
        <v>181</v>
      </c>
      <c r="G8" s="47" t="str">
        <f t="shared" si="1"/>
        <v>ร.ท. พัฐสรร อินนุช</v>
      </c>
      <c r="H8" s="24" t="s">
        <v>80</v>
      </c>
      <c r="I8" s="72" t="s">
        <v>182</v>
      </c>
      <c r="J8" s="50" t="s">
        <v>183</v>
      </c>
      <c r="K8" s="77">
        <v>1.362402118E9</v>
      </c>
      <c r="L8" s="77">
        <v>3.120100197233E12</v>
      </c>
      <c r="M8" s="78" t="s">
        <v>184</v>
      </c>
      <c r="N8" s="50" t="s">
        <v>185</v>
      </c>
      <c r="O8" s="79" t="s">
        <v>186</v>
      </c>
      <c r="P8" s="39" t="s">
        <v>188</v>
      </c>
      <c r="Q8" s="39" t="s">
        <v>189</v>
      </c>
      <c r="R8" s="67">
        <v>9.23655688E8</v>
      </c>
      <c r="S8" s="43"/>
      <c r="T8" s="45" t="s">
        <v>31</v>
      </c>
      <c r="U8" s="46"/>
      <c r="V8" s="66" t="s">
        <v>195</v>
      </c>
      <c r="W8" s="53">
        <v>27498.0</v>
      </c>
    </row>
    <row r="9">
      <c r="A9" s="15">
        <v>8.0</v>
      </c>
      <c r="B9" s="15">
        <v>8.0</v>
      </c>
      <c r="C9" s="22">
        <v>8.0</v>
      </c>
      <c r="D9" s="82" t="s">
        <v>88</v>
      </c>
      <c r="E9" s="83" t="s">
        <v>205</v>
      </c>
      <c r="F9" s="83" t="s">
        <v>206</v>
      </c>
      <c r="G9" s="47" t="str">
        <f t="shared" si="1"/>
        <v>พ.ต. คนอง คำปิว</v>
      </c>
      <c r="H9" s="85" t="s">
        <v>91</v>
      </c>
      <c r="I9" s="83" t="s">
        <v>212</v>
      </c>
      <c r="J9" s="86" t="s">
        <v>213</v>
      </c>
      <c r="K9" s="20">
        <v>1.554100056E9</v>
      </c>
      <c r="L9" s="20">
        <v>1.540300009163E12</v>
      </c>
      <c r="M9" s="87" t="s">
        <v>214</v>
      </c>
      <c r="N9" s="86" t="s">
        <v>216</v>
      </c>
      <c r="O9" s="86" t="s">
        <v>217</v>
      </c>
      <c r="P9" s="20" t="s">
        <v>85</v>
      </c>
      <c r="Q9" s="20" t="s">
        <v>218</v>
      </c>
      <c r="R9" s="71">
        <v>6.12935391E8</v>
      </c>
      <c r="S9" s="88"/>
      <c r="T9" s="45" t="s">
        <v>31</v>
      </c>
      <c r="U9" s="89"/>
      <c r="V9" s="66" t="s">
        <v>223</v>
      </c>
      <c r="W9" s="53">
        <v>31058.0</v>
      </c>
    </row>
    <row r="10">
      <c r="A10" s="15">
        <v>9.0</v>
      </c>
      <c r="B10" s="15">
        <v>9.0</v>
      </c>
      <c r="C10" s="22">
        <v>9.0</v>
      </c>
      <c r="D10" s="76" t="s">
        <v>88</v>
      </c>
      <c r="E10" s="83" t="s">
        <v>230</v>
      </c>
      <c r="F10" s="86" t="s">
        <v>231</v>
      </c>
      <c r="G10" s="47" t="str">
        <f t="shared" si="1"/>
        <v>พ.ต. ปรัชฌา อุบลรัตน์</v>
      </c>
      <c r="H10" s="82" t="s">
        <v>91</v>
      </c>
      <c r="I10" s="83" t="s">
        <v>237</v>
      </c>
      <c r="J10" s="86" t="s">
        <v>238</v>
      </c>
      <c r="K10" s="20">
        <v>1.494901694E9</v>
      </c>
      <c r="L10" s="20">
        <v>1.70990037134E12</v>
      </c>
      <c r="M10" s="87" t="s">
        <v>240</v>
      </c>
      <c r="N10" s="86" t="s">
        <v>242</v>
      </c>
      <c r="O10" s="86" t="s">
        <v>245</v>
      </c>
      <c r="P10" s="77" t="s">
        <v>72</v>
      </c>
      <c r="Q10" s="20" t="s">
        <v>246</v>
      </c>
      <c r="R10" s="71">
        <v>9.5448496E8</v>
      </c>
      <c r="S10" s="88"/>
      <c r="T10" s="45" t="s">
        <v>31</v>
      </c>
      <c r="U10" s="89"/>
      <c r="V10" s="61" t="s">
        <v>250</v>
      </c>
      <c r="W10" s="62">
        <v>32285.0</v>
      </c>
    </row>
    <row r="11">
      <c r="A11" s="15">
        <v>10.0</v>
      </c>
      <c r="B11" s="15">
        <v>10.0</v>
      </c>
      <c r="C11" s="22">
        <v>10.0</v>
      </c>
      <c r="D11" s="76" t="s">
        <v>32</v>
      </c>
      <c r="E11" s="72" t="s">
        <v>261</v>
      </c>
      <c r="F11" s="50" t="s">
        <v>262</v>
      </c>
      <c r="G11" s="47" t="str">
        <f t="shared" si="1"/>
        <v>พ.ท. วิทยา ชารีรัตน์</v>
      </c>
      <c r="H11" s="76" t="s">
        <v>62</v>
      </c>
      <c r="I11" s="72" t="s">
        <v>267</v>
      </c>
      <c r="J11" s="50" t="s">
        <v>268</v>
      </c>
      <c r="K11" s="77">
        <v>1.467700472E9</v>
      </c>
      <c r="L11" s="77">
        <v>1.341800011216E12</v>
      </c>
      <c r="M11" s="78" t="s">
        <v>240</v>
      </c>
      <c r="N11" s="50" t="s">
        <v>269</v>
      </c>
      <c r="O11" s="93" t="s">
        <v>272</v>
      </c>
      <c r="P11" s="77" t="s">
        <v>72</v>
      </c>
      <c r="Q11" s="20" t="s">
        <v>275</v>
      </c>
      <c r="R11" s="71">
        <v>9.27446169E8</v>
      </c>
      <c r="S11" s="88"/>
      <c r="T11" s="45" t="s">
        <v>31</v>
      </c>
      <c r="U11" s="89"/>
      <c r="V11" s="66" t="s">
        <v>277</v>
      </c>
      <c r="W11" s="53">
        <v>31042.0</v>
      </c>
    </row>
    <row r="12">
      <c r="A12" s="15">
        <v>11.0</v>
      </c>
      <c r="B12" s="15">
        <v>11.0</v>
      </c>
      <c r="C12" s="22">
        <v>11.0</v>
      </c>
      <c r="D12" s="24" t="s">
        <v>109</v>
      </c>
      <c r="E12" s="83" t="s">
        <v>282</v>
      </c>
      <c r="F12" s="86" t="s">
        <v>284</v>
      </c>
      <c r="G12" s="47" t="str">
        <f t="shared" si="1"/>
        <v>ร.อ. อธิราช สีสุกงาม</v>
      </c>
      <c r="H12" s="82" t="s">
        <v>115</v>
      </c>
      <c r="I12" s="83" t="s">
        <v>293</v>
      </c>
      <c r="J12" s="86" t="s">
        <v>294</v>
      </c>
      <c r="K12" s="20">
        <v>1.432901022E9</v>
      </c>
      <c r="L12" s="20">
        <v>3.100502031283E12</v>
      </c>
      <c r="M12" s="87" t="s">
        <v>240</v>
      </c>
      <c r="N12" s="86" t="s">
        <v>242</v>
      </c>
      <c r="O12" s="50" t="s">
        <v>295</v>
      </c>
      <c r="P12" s="39" t="s">
        <v>85</v>
      </c>
      <c r="Q12" s="20" t="s">
        <v>246</v>
      </c>
      <c r="R12" s="71">
        <v>8.18068599E8</v>
      </c>
      <c r="S12" s="88"/>
      <c r="T12" s="45" t="s">
        <v>31</v>
      </c>
      <c r="U12" s="89"/>
      <c r="V12" s="66" t="s">
        <v>297</v>
      </c>
      <c r="W12" s="53">
        <v>30063.0</v>
      </c>
    </row>
    <row r="13" hidden="1">
      <c r="A13" s="15">
        <v>12.0</v>
      </c>
      <c r="B13" s="15">
        <v>12.0</v>
      </c>
      <c r="C13" s="22">
        <v>12.0</v>
      </c>
      <c r="D13" s="24" t="s">
        <v>303</v>
      </c>
      <c r="E13" s="83" t="s">
        <v>304</v>
      </c>
      <c r="F13" s="86" t="s">
        <v>305</v>
      </c>
      <c r="G13" s="47" t="str">
        <f t="shared" si="1"/>
        <v>ร.อ.หญิง เกวลี เพ็ชรแก้ว</v>
      </c>
      <c r="H13" s="82" t="s">
        <v>115</v>
      </c>
      <c r="I13" s="83" t="s">
        <v>309</v>
      </c>
      <c r="J13" s="86" t="s">
        <v>310</v>
      </c>
      <c r="K13" s="20">
        <v>6.611050024E9</v>
      </c>
      <c r="L13" s="20">
        <v>1.101700062902E12</v>
      </c>
      <c r="M13" s="87" t="s">
        <v>240</v>
      </c>
      <c r="N13" s="86" t="s">
        <v>312</v>
      </c>
      <c r="O13" s="93" t="s">
        <v>313</v>
      </c>
      <c r="P13" s="39" t="s">
        <v>72</v>
      </c>
      <c r="Q13" s="20" t="s">
        <v>27</v>
      </c>
      <c r="R13" s="95">
        <v>9.89922632E8</v>
      </c>
      <c r="S13" s="88"/>
      <c r="T13" s="45" t="s">
        <v>31</v>
      </c>
      <c r="U13" s="89"/>
      <c r="V13" s="66" t="s">
        <v>318</v>
      </c>
      <c r="W13" s="53">
        <v>31911.0</v>
      </c>
    </row>
    <row r="14" hidden="1">
      <c r="A14" s="15">
        <v>13.0</v>
      </c>
      <c r="B14" s="15">
        <v>13.0</v>
      </c>
      <c r="C14" s="22">
        <v>13.0</v>
      </c>
      <c r="D14" s="24" t="s">
        <v>303</v>
      </c>
      <c r="E14" s="83" t="s">
        <v>328</v>
      </c>
      <c r="F14" s="86" t="s">
        <v>330</v>
      </c>
      <c r="G14" s="47" t="str">
        <f t="shared" si="1"/>
        <v>ร.อ.หญิง เมทิกา วงษ์ฤทธิ์</v>
      </c>
      <c r="H14" s="100" t="s">
        <v>335</v>
      </c>
      <c r="I14" s="83" t="s">
        <v>339</v>
      </c>
      <c r="J14" s="86" t="s">
        <v>340</v>
      </c>
      <c r="K14" s="20">
        <v>8.57103041E9</v>
      </c>
      <c r="L14" s="20">
        <v>1.101400644761E12</v>
      </c>
      <c r="M14" s="87" t="s">
        <v>240</v>
      </c>
      <c r="N14" s="86" t="s">
        <v>341</v>
      </c>
      <c r="O14" s="50" t="s">
        <v>342</v>
      </c>
      <c r="P14" s="39" t="s">
        <v>155</v>
      </c>
      <c r="Q14" s="20" t="s">
        <v>27</v>
      </c>
      <c r="R14" s="95">
        <v>9.52432645E8</v>
      </c>
      <c r="S14" s="88"/>
      <c r="T14" s="45" t="s">
        <v>31</v>
      </c>
      <c r="U14" s="89"/>
      <c r="V14" s="66" t="s">
        <v>351</v>
      </c>
      <c r="W14" s="53">
        <v>31360.0</v>
      </c>
    </row>
    <row r="15" hidden="1">
      <c r="A15" s="15">
        <v>14.0</v>
      </c>
      <c r="B15" s="15">
        <v>14.0</v>
      </c>
      <c r="C15" s="22">
        <v>14.0</v>
      </c>
      <c r="D15" s="24" t="s">
        <v>54</v>
      </c>
      <c r="E15" s="83" t="s">
        <v>362</v>
      </c>
      <c r="F15" s="86" t="s">
        <v>364</v>
      </c>
      <c r="G15" s="47" t="str">
        <f t="shared" si="1"/>
        <v>ร.ท.หญิง กฤตยา แก้วเรียน</v>
      </c>
      <c r="H15" s="24" t="s">
        <v>80</v>
      </c>
      <c r="I15" s="83" t="s">
        <v>369</v>
      </c>
      <c r="J15" s="86" t="s">
        <v>370</v>
      </c>
      <c r="K15" s="20">
        <v>6.61105132E9</v>
      </c>
      <c r="L15" s="20">
        <v>1.103701441259E12</v>
      </c>
      <c r="M15" s="87" t="s">
        <v>240</v>
      </c>
      <c r="N15" s="86" t="s">
        <v>83</v>
      </c>
      <c r="O15" s="93" t="s">
        <v>313</v>
      </c>
      <c r="P15" s="39" t="s">
        <v>72</v>
      </c>
      <c r="Q15" s="20" t="s">
        <v>27</v>
      </c>
      <c r="R15" s="95">
        <v>8.19797451E8</v>
      </c>
      <c r="S15" s="88"/>
      <c r="T15" s="45" t="s">
        <v>31</v>
      </c>
      <c r="U15" s="89"/>
      <c r="V15" s="66" t="s">
        <v>376</v>
      </c>
      <c r="W15" s="53">
        <v>34563.0</v>
      </c>
    </row>
    <row r="16">
      <c r="A16" s="15">
        <v>15.0</v>
      </c>
      <c r="B16" s="15">
        <v>15.0</v>
      </c>
      <c r="C16" s="22">
        <v>31.0</v>
      </c>
      <c r="D16" s="24" t="s">
        <v>135</v>
      </c>
      <c r="E16" s="26" t="s">
        <v>386</v>
      </c>
      <c r="F16" s="29" t="s">
        <v>388</v>
      </c>
      <c r="G16" s="47" t="str">
        <f t="shared" si="1"/>
        <v>ร.ท. จิรายุทธ แก้วยอด</v>
      </c>
      <c r="H16" s="24" t="s">
        <v>80</v>
      </c>
      <c r="I16" s="26" t="s">
        <v>390</v>
      </c>
      <c r="J16" s="29" t="s">
        <v>391</v>
      </c>
      <c r="K16" s="39">
        <v>1.594902216E9</v>
      </c>
      <c r="L16" s="39">
        <v>1.709901184721E12</v>
      </c>
      <c r="M16" s="40" t="s">
        <v>392</v>
      </c>
      <c r="N16" s="29" t="s">
        <v>393</v>
      </c>
      <c r="O16" s="29" t="s">
        <v>394</v>
      </c>
      <c r="P16" s="39" t="s">
        <v>155</v>
      </c>
      <c r="Q16" s="39" t="s">
        <v>73</v>
      </c>
      <c r="R16" s="42">
        <v>9.55396359E8</v>
      </c>
      <c r="S16" s="43"/>
      <c r="T16" s="45" t="s">
        <v>34</v>
      </c>
      <c r="U16" s="46"/>
      <c r="V16" s="66" t="s">
        <v>395</v>
      </c>
      <c r="W16" s="53">
        <v>35805.0</v>
      </c>
    </row>
    <row r="17">
      <c r="A17" s="15">
        <v>16.0</v>
      </c>
      <c r="B17" s="15">
        <v>16.0</v>
      </c>
      <c r="C17" s="103">
        <v>66.0</v>
      </c>
      <c r="D17" s="104" t="s">
        <v>135</v>
      </c>
      <c r="E17" s="72" t="s">
        <v>419</v>
      </c>
      <c r="F17" s="72" t="s">
        <v>420</v>
      </c>
      <c r="G17" s="47" t="str">
        <f t="shared" si="1"/>
        <v>ร.ท. ทินกร พงษ์นฤนาถ</v>
      </c>
      <c r="H17" s="24" t="s">
        <v>80</v>
      </c>
      <c r="I17" s="72" t="s">
        <v>421</v>
      </c>
      <c r="J17" s="50" t="s">
        <v>422</v>
      </c>
      <c r="K17" s="77">
        <v>1.522700855E9</v>
      </c>
      <c r="L17" s="77">
        <v>1.309800101735E12</v>
      </c>
      <c r="M17" s="108" t="s">
        <v>392</v>
      </c>
      <c r="N17" s="72" t="s">
        <v>424</v>
      </c>
      <c r="O17" s="109" t="s">
        <v>425</v>
      </c>
      <c r="P17" s="110" t="s">
        <v>85</v>
      </c>
      <c r="Q17" s="111" t="s">
        <v>426</v>
      </c>
      <c r="R17" s="112">
        <v>9.78959566E8</v>
      </c>
      <c r="S17" s="113"/>
      <c r="T17" s="115" t="s">
        <v>41</v>
      </c>
      <c r="U17" s="116"/>
      <c r="V17" s="66" t="s">
        <v>445</v>
      </c>
      <c r="W17" s="53">
        <v>32428.0</v>
      </c>
    </row>
    <row r="18">
      <c r="A18" s="15">
        <v>17.0</v>
      </c>
      <c r="B18" s="15">
        <v>17.0</v>
      </c>
      <c r="C18" s="103">
        <v>101.0</v>
      </c>
      <c r="D18" s="118" t="s">
        <v>135</v>
      </c>
      <c r="E18" s="26" t="s">
        <v>463</v>
      </c>
      <c r="F18" s="29" t="s">
        <v>466</v>
      </c>
      <c r="G18" s="47" t="str">
        <f t="shared" si="1"/>
        <v>ร.ท. ภาสวิชญ์ นิลพัฒน์</v>
      </c>
      <c r="H18" s="24" t="s">
        <v>80</v>
      </c>
      <c r="I18" s="26" t="s">
        <v>474</v>
      </c>
      <c r="J18" s="29" t="s">
        <v>475</v>
      </c>
      <c r="K18" s="39">
        <v>1.593317578E9</v>
      </c>
      <c r="L18" s="39">
        <v>1.103702625167E12</v>
      </c>
      <c r="M18" s="40" t="s">
        <v>392</v>
      </c>
      <c r="N18" s="29" t="s">
        <v>478</v>
      </c>
      <c r="O18" s="29" t="s">
        <v>394</v>
      </c>
      <c r="P18" s="39" t="s">
        <v>85</v>
      </c>
      <c r="Q18" s="39" t="s">
        <v>73</v>
      </c>
      <c r="R18" s="42">
        <v>9.88258132E8</v>
      </c>
      <c r="S18" s="43"/>
      <c r="T18" s="45" t="s">
        <v>44</v>
      </c>
      <c r="U18" s="46"/>
      <c r="V18" s="66" t="s">
        <v>479</v>
      </c>
      <c r="W18" s="53">
        <v>35978.0</v>
      </c>
    </row>
    <row r="19">
      <c r="A19" s="15">
        <v>18.0</v>
      </c>
      <c r="B19" s="15">
        <v>18.0</v>
      </c>
      <c r="C19" s="103">
        <v>136.0</v>
      </c>
      <c r="D19" s="85" t="s">
        <v>109</v>
      </c>
      <c r="E19" s="83" t="s">
        <v>495</v>
      </c>
      <c r="F19" s="86" t="s">
        <v>497</v>
      </c>
      <c r="G19" s="47" t="str">
        <f t="shared" si="1"/>
        <v>ร.อ. เจษฎา ทิมฤกษ์</v>
      </c>
      <c r="H19" s="82" t="s">
        <v>115</v>
      </c>
      <c r="I19" s="83" t="s">
        <v>501</v>
      </c>
      <c r="J19" s="86" t="s">
        <v>502</v>
      </c>
      <c r="K19" s="20">
        <v>1.374900526E9</v>
      </c>
      <c r="L19" s="20">
        <v>3.700100789372E12</v>
      </c>
      <c r="M19" s="119" t="s">
        <v>392</v>
      </c>
      <c r="N19" s="29" t="s">
        <v>504</v>
      </c>
      <c r="O19" s="120" t="s">
        <v>505</v>
      </c>
      <c r="P19" s="20" t="s">
        <v>72</v>
      </c>
      <c r="Q19" s="39" t="s">
        <v>73</v>
      </c>
      <c r="R19" s="42">
        <v>8.71611198E8</v>
      </c>
      <c r="S19" s="43"/>
      <c r="T19" s="45" t="s">
        <v>48</v>
      </c>
      <c r="U19" s="45" t="s">
        <v>48</v>
      </c>
      <c r="V19" s="66" t="s">
        <v>513</v>
      </c>
      <c r="W19" s="53">
        <v>27746.0</v>
      </c>
    </row>
    <row r="20">
      <c r="A20" s="15">
        <v>19.0</v>
      </c>
      <c r="B20" s="15">
        <v>19.0</v>
      </c>
      <c r="C20" s="103">
        <v>137.0</v>
      </c>
      <c r="D20" s="85" t="s">
        <v>135</v>
      </c>
      <c r="E20" s="83" t="s">
        <v>533</v>
      </c>
      <c r="F20" s="86" t="s">
        <v>534</v>
      </c>
      <c r="G20" s="47" t="str">
        <f t="shared" si="1"/>
        <v>ร.ท. สุทธิพงษ์ ทิพธามา</v>
      </c>
      <c r="H20" s="24" t="s">
        <v>80</v>
      </c>
      <c r="I20" s="83" t="s">
        <v>539</v>
      </c>
      <c r="J20" s="86" t="s">
        <v>541</v>
      </c>
      <c r="K20" s="20">
        <v>1.564900809E9</v>
      </c>
      <c r="L20" s="20">
        <v>1.709900885955E12</v>
      </c>
      <c r="M20" s="119" t="s">
        <v>542</v>
      </c>
      <c r="N20" s="29" t="s">
        <v>153</v>
      </c>
      <c r="O20" s="120" t="s">
        <v>544</v>
      </c>
      <c r="P20" s="20" t="s">
        <v>155</v>
      </c>
      <c r="Q20" s="39" t="s">
        <v>73</v>
      </c>
      <c r="R20" s="42">
        <v>9.54726699E8</v>
      </c>
      <c r="S20" s="43"/>
      <c r="T20" s="45" t="s">
        <v>48</v>
      </c>
      <c r="U20" s="45" t="s">
        <v>48</v>
      </c>
      <c r="V20" s="61" t="s">
        <v>545</v>
      </c>
      <c r="W20" s="57">
        <v>34479.0</v>
      </c>
    </row>
    <row r="21" hidden="1">
      <c r="A21" s="15">
        <v>20.0</v>
      </c>
      <c r="B21" s="15">
        <v>20.0</v>
      </c>
      <c r="C21" s="33">
        <v>165.0</v>
      </c>
      <c r="D21" s="34" t="s">
        <v>135</v>
      </c>
      <c r="E21" s="35" t="s">
        <v>567</v>
      </c>
      <c r="F21" s="36" t="s">
        <v>568</v>
      </c>
      <c r="G21" s="47" t="str">
        <f t="shared" si="1"/>
        <v>ร.ท. เอกพล เมฆประสาท</v>
      </c>
      <c r="H21" s="24" t="s">
        <v>80</v>
      </c>
      <c r="I21" s="35" t="s">
        <v>569</v>
      </c>
      <c r="J21" s="36" t="s">
        <v>570</v>
      </c>
      <c r="K21" s="121">
        <v>1.405400448E9</v>
      </c>
      <c r="L21" s="121">
        <v>3.331001047216E12</v>
      </c>
      <c r="M21" s="122" t="s">
        <v>576</v>
      </c>
      <c r="N21" s="123" t="s">
        <v>581</v>
      </c>
      <c r="O21" s="124" t="s">
        <v>584</v>
      </c>
      <c r="P21" s="121" t="s">
        <v>188</v>
      </c>
      <c r="Q21" s="39" t="s">
        <v>27</v>
      </c>
      <c r="R21" s="125">
        <v>9.39921728E8</v>
      </c>
      <c r="S21" s="126"/>
      <c r="T21" s="127" t="s">
        <v>52</v>
      </c>
      <c r="U21" s="45" t="s">
        <v>48</v>
      </c>
      <c r="V21" s="66" t="s">
        <v>593</v>
      </c>
      <c r="W21" s="53">
        <v>28741.0</v>
      </c>
    </row>
    <row r="22" hidden="1">
      <c r="A22" s="15">
        <v>21.0</v>
      </c>
      <c r="B22" s="15">
        <v>21.0</v>
      </c>
      <c r="C22" s="33">
        <v>173.0</v>
      </c>
      <c r="D22" s="34" t="s">
        <v>609</v>
      </c>
      <c r="E22" s="35" t="s">
        <v>610</v>
      </c>
      <c r="F22" s="36" t="s">
        <v>611</v>
      </c>
      <c r="G22" s="47" t="str">
        <f t="shared" si="1"/>
        <v>ร.ต. สหภาพ แววงาม</v>
      </c>
      <c r="H22" s="63" t="s">
        <v>613</v>
      </c>
      <c r="I22" s="35" t="s">
        <v>615</v>
      </c>
      <c r="J22" s="36" t="s">
        <v>616</v>
      </c>
      <c r="K22" s="121">
        <v>1.542402607E9</v>
      </c>
      <c r="L22" s="121">
        <v>1.103700514015E12</v>
      </c>
      <c r="M22" s="131" t="s">
        <v>618</v>
      </c>
      <c r="N22" s="132" t="s">
        <v>619</v>
      </c>
      <c r="O22" s="124" t="s">
        <v>621</v>
      </c>
      <c r="P22" s="121" t="s">
        <v>72</v>
      </c>
      <c r="Q22" s="39" t="s">
        <v>27</v>
      </c>
      <c r="R22" s="134">
        <v>8.92275449E8</v>
      </c>
      <c r="S22" s="126"/>
      <c r="T22" s="127" t="s">
        <v>52</v>
      </c>
      <c r="U22" s="45" t="s">
        <v>48</v>
      </c>
      <c r="V22" s="66" t="s">
        <v>631</v>
      </c>
      <c r="W22" s="53">
        <v>33437.0</v>
      </c>
    </row>
    <row r="23">
      <c r="A23" s="15">
        <v>22.0</v>
      </c>
      <c r="B23" s="15">
        <v>22.0</v>
      </c>
      <c r="C23" s="103">
        <v>200.0</v>
      </c>
      <c r="D23" s="85" t="s">
        <v>135</v>
      </c>
      <c r="E23" s="83" t="s">
        <v>638</v>
      </c>
      <c r="F23" s="86" t="s">
        <v>639</v>
      </c>
      <c r="G23" s="47" t="str">
        <f t="shared" si="1"/>
        <v>ร.ท. พงศ์พิทูร ศักดาชาญสวัสดิ์</v>
      </c>
      <c r="H23" s="139" t="s">
        <v>80</v>
      </c>
      <c r="I23" s="83" t="s">
        <v>650</v>
      </c>
      <c r="J23" s="86" t="s">
        <v>651</v>
      </c>
      <c r="K23" s="20">
        <v>1.581902311E9</v>
      </c>
      <c r="L23" s="20">
        <v>1.739901727393E12</v>
      </c>
      <c r="M23" s="141" t="s">
        <v>656</v>
      </c>
      <c r="N23" s="142" t="s">
        <v>660</v>
      </c>
      <c r="O23" s="86" t="s">
        <v>664</v>
      </c>
      <c r="P23" s="18" t="s">
        <v>72</v>
      </c>
      <c r="Q23" s="144" t="s">
        <v>666</v>
      </c>
      <c r="R23" s="42">
        <v>8.13636653E8</v>
      </c>
      <c r="S23" s="43"/>
      <c r="T23" s="45" t="s">
        <v>58</v>
      </c>
      <c r="U23" s="46"/>
      <c r="V23" s="66" t="s">
        <v>668</v>
      </c>
      <c r="W23" s="53">
        <v>35725.0</v>
      </c>
    </row>
    <row r="24">
      <c r="A24" s="15">
        <v>23.0</v>
      </c>
      <c r="B24" s="15">
        <v>23.0</v>
      </c>
      <c r="C24" s="103">
        <v>231.0</v>
      </c>
      <c r="D24" s="146" t="s">
        <v>135</v>
      </c>
      <c r="E24" s="148" t="s">
        <v>683</v>
      </c>
      <c r="F24" s="142" t="s">
        <v>684</v>
      </c>
      <c r="G24" s="47" t="str">
        <f t="shared" si="1"/>
        <v>ร.ท. เกริกพงษ์ พิทักษ์สกุลหงส์</v>
      </c>
      <c r="H24" s="139" t="s">
        <v>80</v>
      </c>
      <c r="I24" s="148" t="s">
        <v>685</v>
      </c>
      <c r="J24" s="142" t="s">
        <v>686</v>
      </c>
      <c r="K24" s="150">
        <v>1.570600611E9</v>
      </c>
      <c r="L24" s="150">
        <v>1.209700676885E12</v>
      </c>
      <c r="M24" s="152" t="s">
        <v>392</v>
      </c>
      <c r="N24" s="154" t="s">
        <v>694</v>
      </c>
      <c r="O24" s="72" t="s">
        <v>697</v>
      </c>
      <c r="P24" s="155" t="s">
        <v>72</v>
      </c>
      <c r="Q24" s="144" t="s">
        <v>666</v>
      </c>
      <c r="R24" s="42" t="s">
        <v>703</v>
      </c>
      <c r="S24" s="43"/>
      <c r="T24" s="45" t="s">
        <v>60</v>
      </c>
      <c r="U24" s="46"/>
      <c r="V24" s="66" t="s">
        <v>704</v>
      </c>
      <c r="W24" s="53">
        <v>35214.0</v>
      </c>
    </row>
    <row r="25">
      <c r="A25" s="15">
        <v>24.0</v>
      </c>
      <c r="B25" s="15">
        <v>24.0</v>
      </c>
      <c r="C25" s="103">
        <v>262.0</v>
      </c>
      <c r="D25" s="85" t="s">
        <v>135</v>
      </c>
      <c r="E25" s="83" t="s">
        <v>714</v>
      </c>
      <c r="F25" s="86" t="s">
        <v>716</v>
      </c>
      <c r="G25" s="47" t="str">
        <f t="shared" si="1"/>
        <v>ร.ท. กฤตนันท์ จันทร์อยู่</v>
      </c>
      <c r="H25" s="139" t="s">
        <v>80</v>
      </c>
      <c r="I25" s="83" t="s">
        <v>721</v>
      </c>
      <c r="J25" s="86" t="s">
        <v>723</v>
      </c>
      <c r="K25" s="20">
        <v>1.653302809E9</v>
      </c>
      <c r="L25" s="20">
        <v>1.103702509566E12</v>
      </c>
      <c r="M25" s="152" t="s">
        <v>728</v>
      </c>
      <c r="N25" s="86" t="s">
        <v>730</v>
      </c>
      <c r="O25" s="50" t="s">
        <v>732</v>
      </c>
      <c r="P25" s="20" t="s">
        <v>85</v>
      </c>
      <c r="Q25" s="77" t="s">
        <v>734</v>
      </c>
      <c r="R25" s="42">
        <v>6.49519419E8</v>
      </c>
      <c r="S25" s="43"/>
      <c r="T25" s="45" t="s">
        <v>61</v>
      </c>
      <c r="U25" s="46"/>
      <c r="V25" s="66" t="s">
        <v>735</v>
      </c>
      <c r="W25" s="57">
        <v>35800.0</v>
      </c>
    </row>
    <row r="26">
      <c r="A26" s="15">
        <v>25.0</v>
      </c>
      <c r="B26" s="15">
        <v>25.0</v>
      </c>
      <c r="C26" s="103">
        <v>263.0</v>
      </c>
      <c r="D26" s="85" t="s">
        <v>135</v>
      </c>
      <c r="E26" s="83" t="s">
        <v>752</v>
      </c>
      <c r="F26" s="86" t="s">
        <v>753</v>
      </c>
      <c r="G26" s="47" t="str">
        <f t="shared" si="1"/>
        <v>ร.ท. สถิรชนม์ รัตนโชคธรณี</v>
      </c>
      <c r="H26" s="139" t="s">
        <v>80</v>
      </c>
      <c r="I26" s="83" t="s">
        <v>755</v>
      </c>
      <c r="J26" s="86" t="s">
        <v>756</v>
      </c>
      <c r="K26" s="20">
        <v>1.590201769E9</v>
      </c>
      <c r="L26" s="20">
        <v>1.710500369111E12</v>
      </c>
      <c r="M26" s="152" t="s">
        <v>728</v>
      </c>
      <c r="N26" s="142" t="s">
        <v>758</v>
      </c>
      <c r="O26" s="50" t="s">
        <v>84</v>
      </c>
      <c r="P26" s="77" t="s">
        <v>72</v>
      </c>
      <c r="Q26" s="77" t="s">
        <v>734</v>
      </c>
      <c r="R26" s="42">
        <v>8.11975415E8</v>
      </c>
      <c r="S26" s="43"/>
      <c r="T26" s="45" t="s">
        <v>61</v>
      </c>
      <c r="U26" s="46"/>
      <c r="V26" s="66" t="s">
        <v>761</v>
      </c>
      <c r="W26" s="57">
        <v>35965.0</v>
      </c>
    </row>
    <row r="27">
      <c r="A27" s="15">
        <v>26.0</v>
      </c>
      <c r="B27" s="15">
        <v>26.0</v>
      </c>
      <c r="C27" s="103">
        <v>264.0</v>
      </c>
      <c r="D27" s="85" t="s">
        <v>770</v>
      </c>
      <c r="E27" s="83" t="s">
        <v>771</v>
      </c>
      <c r="F27" s="86" t="s">
        <v>773</v>
      </c>
      <c r="G27" s="47" t="str">
        <f t="shared" si="1"/>
        <v>พ.ท.หญิง วารุณี โพธา</v>
      </c>
      <c r="H27" s="24" t="s">
        <v>62</v>
      </c>
      <c r="I27" s="83" t="s">
        <v>782</v>
      </c>
      <c r="J27" s="86" t="s">
        <v>784</v>
      </c>
      <c r="K27" s="20">
        <v>6.501013008E9</v>
      </c>
      <c r="L27" s="20">
        <v>1.509900062357E12</v>
      </c>
      <c r="M27" s="152" t="s">
        <v>785</v>
      </c>
      <c r="N27" s="86" t="s">
        <v>787</v>
      </c>
      <c r="O27" s="79" t="s">
        <v>789</v>
      </c>
      <c r="P27" s="77" t="s">
        <v>72</v>
      </c>
      <c r="Q27" s="77" t="s">
        <v>734</v>
      </c>
      <c r="R27" s="67">
        <v>9.26699916E8</v>
      </c>
      <c r="S27" s="43"/>
      <c r="T27" s="45" t="s">
        <v>61</v>
      </c>
      <c r="U27" s="46"/>
      <c r="V27" s="66" t="s">
        <v>790</v>
      </c>
      <c r="W27" s="53">
        <v>30839.0</v>
      </c>
    </row>
    <row r="28">
      <c r="A28" s="15">
        <v>27.0</v>
      </c>
      <c r="B28" s="15">
        <v>27.0</v>
      </c>
      <c r="C28" s="103">
        <v>265.0</v>
      </c>
      <c r="D28" s="34" t="s">
        <v>135</v>
      </c>
      <c r="E28" s="35" t="s">
        <v>521</v>
      </c>
      <c r="F28" s="36" t="s">
        <v>800</v>
      </c>
      <c r="G28" s="47" t="str">
        <f t="shared" si="1"/>
        <v>ร.ท. อาคม นพกร</v>
      </c>
      <c r="H28" s="24" t="s">
        <v>80</v>
      </c>
      <c r="I28" s="35" t="s">
        <v>804</v>
      </c>
      <c r="J28" s="36" t="s">
        <v>805</v>
      </c>
      <c r="K28" s="48">
        <v>1.582201589E9</v>
      </c>
      <c r="L28" s="48">
        <v>1.809900727674E12</v>
      </c>
      <c r="M28" s="152" t="s">
        <v>785</v>
      </c>
      <c r="N28" s="86" t="s">
        <v>808</v>
      </c>
      <c r="O28" s="29" t="s">
        <v>84</v>
      </c>
      <c r="P28" s="77" t="s">
        <v>72</v>
      </c>
      <c r="Q28" s="77" t="s">
        <v>734</v>
      </c>
      <c r="R28" s="42">
        <v>8.46905068E8</v>
      </c>
      <c r="S28" s="43"/>
      <c r="T28" s="45" t="s">
        <v>61</v>
      </c>
      <c r="U28" s="46"/>
      <c r="V28" s="61" t="s">
        <v>810</v>
      </c>
      <c r="W28" s="57">
        <v>34616.0</v>
      </c>
    </row>
  </sheetData>
  <autoFilter ref="$Q$1:$Q$28">
    <filterColumn colId="0">
      <filters>
        <filter val="ทภ.1 (พล.ร.9)"/>
        <filter val="กช."/>
        <filter val="พบ."/>
        <filter val="ยศ.ทบ."/>
        <filter val="กบ.ทบ."/>
        <filter val="ยก.ทบ."/>
        <filter val="ทภ.1 (พล.ร.11)"/>
        <filter val="สธน.ทบ."/>
      </filters>
    </filterColumn>
  </autoFilter>
  <mergeCells count="1">
    <mergeCell ref="H1:J1"/>
  </mergeCells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H14"/>
    <hyperlink r:id="rId14" ref="V14"/>
    <hyperlink r:id="rId15" ref="V15"/>
    <hyperlink r:id="rId16" ref="V16"/>
    <hyperlink r:id="rId17" ref="V17"/>
    <hyperlink r:id="rId18" ref="V18"/>
    <hyperlink r:id="rId19" ref="V19"/>
    <hyperlink r:id="rId20" ref="V20"/>
    <hyperlink r:id="rId21" ref="V21"/>
    <hyperlink r:id="rId22" ref="V22"/>
    <hyperlink r:id="rId23" ref="V23"/>
    <hyperlink r:id="rId24" ref="V24"/>
    <hyperlink r:id="rId25" ref="V25"/>
    <hyperlink r:id="rId26" ref="V26"/>
    <hyperlink r:id="rId27" ref="V27"/>
    <hyperlink r:id="rId28" ref="V28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9.63"/>
    <col customWidth="1" min="3" max="3" width="11.0"/>
    <col customWidth="1" min="5" max="5" width="21.0"/>
    <col customWidth="1" min="6" max="6" width="9.75"/>
    <col customWidth="1" min="10" max="10" width="13.38"/>
    <col customWidth="1" min="11" max="11" width="48.13"/>
    <col customWidth="1" min="12" max="12" width="19.13"/>
    <col customWidth="1" min="13" max="13" width="15.5"/>
    <col customWidth="1" min="16" max="16" width="37.75"/>
  </cols>
  <sheetData>
    <row r="1">
      <c r="A1" s="11" t="s">
        <v>0</v>
      </c>
      <c r="B1" s="14" t="s">
        <v>2</v>
      </c>
      <c r="C1" s="7"/>
      <c r="D1" s="8"/>
      <c r="E1" s="11" t="s">
        <v>5</v>
      </c>
      <c r="F1" s="14" t="s">
        <v>7</v>
      </c>
      <c r="G1" s="7"/>
      <c r="H1" s="8"/>
      <c r="I1" s="11" t="s">
        <v>10</v>
      </c>
      <c r="J1" s="11" t="s">
        <v>11</v>
      </c>
      <c r="K1" s="11" t="s">
        <v>14</v>
      </c>
      <c r="L1" s="11" t="s">
        <v>15</v>
      </c>
      <c r="M1" s="11" t="s">
        <v>16</v>
      </c>
      <c r="N1" s="11" t="s">
        <v>17</v>
      </c>
      <c r="O1" s="16" t="s">
        <v>33</v>
      </c>
      <c r="P1" s="28" t="s">
        <v>26</v>
      </c>
      <c r="Q1" s="21" t="s">
        <v>28</v>
      </c>
      <c r="R1" s="32"/>
      <c r="S1" s="32"/>
    </row>
    <row r="2">
      <c r="A2" s="33" t="s">
        <v>51</v>
      </c>
      <c r="B2" s="34" t="s">
        <v>54</v>
      </c>
      <c r="C2" s="35" t="s">
        <v>56</v>
      </c>
      <c r="D2" s="36" t="s">
        <v>59</v>
      </c>
      <c r="E2" s="47" t="str">
        <f t="shared" ref="E2:E43" si="1">B2&amp;" "&amp;C2&amp;" "&amp;D2</f>
        <v>ร.ท.หญิง ชฎามาศ พลอยไป</v>
      </c>
      <c r="F2" s="24" t="s">
        <v>80</v>
      </c>
      <c r="G2" s="35" t="s">
        <v>81</v>
      </c>
      <c r="H2" s="36" t="s">
        <v>82</v>
      </c>
      <c r="I2" s="48">
        <v>6.61105061E9</v>
      </c>
      <c r="J2" s="48">
        <v>1.609900204592E12</v>
      </c>
      <c r="K2" s="36" t="s">
        <v>83</v>
      </c>
      <c r="L2" s="50" t="s">
        <v>84</v>
      </c>
      <c r="M2" s="48" t="s">
        <v>85</v>
      </c>
      <c r="N2" s="48" t="s">
        <v>27</v>
      </c>
      <c r="O2" s="52" t="s">
        <v>86</v>
      </c>
      <c r="P2" s="56" t="s">
        <v>87</v>
      </c>
      <c r="Q2" s="57">
        <v>33649.0</v>
      </c>
      <c r="R2" s="59"/>
      <c r="S2" s="59"/>
    </row>
    <row r="3">
      <c r="A3" s="33" t="s">
        <v>105</v>
      </c>
      <c r="B3" s="34" t="s">
        <v>106</v>
      </c>
      <c r="C3" s="35" t="s">
        <v>107</v>
      </c>
      <c r="D3" s="36" t="s">
        <v>108</v>
      </c>
      <c r="E3" s="37" t="str">
        <f t="shared" si="1"/>
        <v>จ.ส.อ. วรินทร เปลื้องไธสง</v>
      </c>
      <c r="F3" s="63" t="s">
        <v>111</v>
      </c>
      <c r="G3" s="35" t="s">
        <v>113</v>
      </c>
      <c r="H3" s="36" t="s">
        <v>114</v>
      </c>
      <c r="I3" s="48">
        <v>1.463313978E9</v>
      </c>
      <c r="J3" s="48">
        <v>1.101400359942E12</v>
      </c>
      <c r="K3" s="36" t="s">
        <v>118</v>
      </c>
      <c r="L3" s="36" t="s">
        <v>120</v>
      </c>
      <c r="M3" s="48" t="s">
        <v>72</v>
      </c>
      <c r="N3" s="48" t="s">
        <v>27</v>
      </c>
      <c r="O3" s="64">
        <v>9.09153399E8</v>
      </c>
      <c r="P3" s="56" t="s">
        <v>126</v>
      </c>
      <c r="Q3" s="68">
        <v>31062.0</v>
      </c>
      <c r="R3" s="32"/>
      <c r="S3" s="32"/>
    </row>
    <row r="4">
      <c r="A4" s="33" t="s">
        <v>134</v>
      </c>
      <c r="B4" s="34" t="s">
        <v>135</v>
      </c>
      <c r="C4" s="35" t="s">
        <v>136</v>
      </c>
      <c r="D4" s="36" t="s">
        <v>137</v>
      </c>
      <c r="E4" s="47" t="str">
        <f t="shared" si="1"/>
        <v>ร.ท. พนม เพียงกระโทก</v>
      </c>
      <c r="F4" s="24" t="s">
        <v>80</v>
      </c>
      <c r="G4" s="35" t="s">
        <v>139</v>
      </c>
      <c r="H4" s="36" t="s">
        <v>141</v>
      </c>
      <c r="I4" s="48">
        <v>1.502100015E9</v>
      </c>
      <c r="J4" s="48">
        <v>1.300200091072E12</v>
      </c>
      <c r="K4" s="69" t="s">
        <v>143</v>
      </c>
      <c r="L4" s="70" t="s">
        <v>144</v>
      </c>
      <c r="M4" s="48" t="s">
        <v>85</v>
      </c>
      <c r="N4" s="48" t="s">
        <v>27</v>
      </c>
      <c r="O4" s="71">
        <v>8.88723954E8</v>
      </c>
      <c r="P4" s="56" t="s">
        <v>148</v>
      </c>
      <c r="Q4" s="53">
        <v>31788.0</v>
      </c>
      <c r="R4" s="73"/>
      <c r="S4" s="73"/>
    </row>
    <row r="5">
      <c r="A5" s="33" t="s">
        <v>169</v>
      </c>
      <c r="B5" s="74" t="s">
        <v>171</v>
      </c>
      <c r="C5" s="35" t="s">
        <v>172</v>
      </c>
      <c r="D5" s="36" t="s">
        <v>173</v>
      </c>
      <c r="E5" s="37" t="str">
        <f t="shared" si="1"/>
        <v>จ.ส.อ วชิระ งามสมฤทธิ์</v>
      </c>
      <c r="F5" s="75" t="s">
        <v>111</v>
      </c>
      <c r="G5" s="35" t="s">
        <v>175</v>
      </c>
      <c r="H5" s="36" t="s">
        <v>176</v>
      </c>
      <c r="I5" s="48">
        <v>1.594000675E9</v>
      </c>
      <c r="J5" s="48">
        <v>1.679800222262E12</v>
      </c>
      <c r="K5" s="69" t="s">
        <v>177</v>
      </c>
      <c r="L5" s="36" t="s">
        <v>178</v>
      </c>
      <c r="M5" s="48" t="s">
        <v>85</v>
      </c>
      <c r="N5" s="48" t="s">
        <v>27</v>
      </c>
      <c r="O5" s="71">
        <v>9.64895034E8</v>
      </c>
      <c r="P5" s="56" t="s">
        <v>179</v>
      </c>
      <c r="Q5" s="53">
        <v>35423.0</v>
      </c>
      <c r="R5" s="73"/>
      <c r="S5" s="73"/>
    </row>
    <row r="6">
      <c r="A6" s="33" t="s">
        <v>193</v>
      </c>
      <c r="B6" s="34" t="s">
        <v>106</v>
      </c>
      <c r="C6" s="35" t="s">
        <v>194</v>
      </c>
      <c r="D6" s="36" t="s">
        <v>196</v>
      </c>
      <c r="E6" s="37" t="str">
        <f t="shared" si="1"/>
        <v>จ.ส.อ. รัฐพล วรรณขาม</v>
      </c>
      <c r="F6" s="63" t="s">
        <v>111</v>
      </c>
      <c r="G6" s="35" t="s">
        <v>199</v>
      </c>
      <c r="H6" s="70" t="s">
        <v>200</v>
      </c>
      <c r="I6" s="48">
        <v>1.560200412E9</v>
      </c>
      <c r="J6" s="48">
        <v>1.719900317221E12</v>
      </c>
      <c r="K6" s="69" t="s">
        <v>201</v>
      </c>
      <c r="L6" s="36" t="s">
        <v>202</v>
      </c>
      <c r="M6" s="48" t="s">
        <v>188</v>
      </c>
      <c r="N6" s="48" t="s">
        <v>27</v>
      </c>
      <c r="O6" s="71">
        <v>8.30717878E8</v>
      </c>
      <c r="P6" s="56" t="s">
        <v>204</v>
      </c>
      <c r="Q6" s="53">
        <v>34258.0</v>
      </c>
      <c r="R6" s="73"/>
      <c r="S6" s="73"/>
    </row>
    <row r="7">
      <c r="A7" s="33" t="s">
        <v>220</v>
      </c>
      <c r="B7" s="74" t="s">
        <v>106</v>
      </c>
      <c r="C7" s="35" t="s">
        <v>221</v>
      </c>
      <c r="D7" s="36" t="s">
        <v>222</v>
      </c>
      <c r="E7" s="37" t="str">
        <f t="shared" si="1"/>
        <v>จ.ส.อ. บุญญฤทธิ์ เรืองสูรย์</v>
      </c>
      <c r="F7" s="75" t="s">
        <v>111</v>
      </c>
      <c r="G7" s="35" t="s">
        <v>224</v>
      </c>
      <c r="H7" s="70" t="s">
        <v>225</v>
      </c>
      <c r="I7" s="48">
        <v>1.592104582E9</v>
      </c>
      <c r="J7" s="48">
        <v>1.350100469227E12</v>
      </c>
      <c r="K7" s="91" t="s">
        <v>226</v>
      </c>
      <c r="L7" s="36" t="s">
        <v>227</v>
      </c>
      <c r="M7" s="48" t="s">
        <v>72</v>
      </c>
      <c r="N7" s="48" t="s">
        <v>27</v>
      </c>
      <c r="O7" s="71">
        <v>9.22750674E8</v>
      </c>
      <c r="P7" s="56" t="s">
        <v>228</v>
      </c>
      <c r="Q7" s="53">
        <v>35880.0</v>
      </c>
      <c r="R7" s="73"/>
      <c r="S7" s="73"/>
    </row>
    <row r="8">
      <c r="A8" s="33" t="s">
        <v>239</v>
      </c>
      <c r="B8" s="34" t="s">
        <v>241</v>
      </c>
      <c r="C8" s="35" t="s">
        <v>243</v>
      </c>
      <c r="D8" s="36" t="s">
        <v>244</v>
      </c>
      <c r="E8" s="37" t="str">
        <f t="shared" si="1"/>
        <v>จ.ท.หญิง พิมพ์ชนก รังรักษ์</v>
      </c>
      <c r="F8" s="63" t="s">
        <v>247</v>
      </c>
      <c r="G8" s="35" t="s">
        <v>248</v>
      </c>
      <c r="H8" s="36" t="s">
        <v>249</v>
      </c>
      <c r="I8" s="48">
        <v>7.621050219E9</v>
      </c>
      <c r="J8" s="48">
        <v>1.10050050062E12</v>
      </c>
      <c r="K8" s="36" t="s">
        <v>251</v>
      </c>
      <c r="L8" s="36" t="s">
        <v>252</v>
      </c>
      <c r="M8" s="48" t="s">
        <v>72</v>
      </c>
      <c r="N8" s="48" t="s">
        <v>27</v>
      </c>
      <c r="O8" s="71">
        <v>8.76414165E8</v>
      </c>
      <c r="P8" s="56" t="s">
        <v>253</v>
      </c>
      <c r="Q8" s="53">
        <v>33347.0</v>
      </c>
      <c r="R8" s="73"/>
      <c r="S8" s="73"/>
    </row>
    <row r="9">
      <c r="A9" s="33" t="s">
        <v>263</v>
      </c>
      <c r="B9" s="74" t="s">
        <v>264</v>
      </c>
      <c r="C9" s="35" t="s">
        <v>265</v>
      </c>
      <c r="D9" s="36" t="s">
        <v>266</v>
      </c>
      <c r="E9" s="37" t="str">
        <f t="shared" si="1"/>
        <v>จ.ส.อ.หญิง สุวรรณณี ชมเชย</v>
      </c>
      <c r="F9" s="75" t="s">
        <v>111</v>
      </c>
      <c r="G9" s="35" t="s">
        <v>270</v>
      </c>
      <c r="H9" s="36" t="s">
        <v>271</v>
      </c>
      <c r="I9" s="48">
        <v>6.591050327E9</v>
      </c>
      <c r="J9" s="48">
        <v>1.102700773621E12</v>
      </c>
      <c r="K9" s="91" t="s">
        <v>273</v>
      </c>
      <c r="L9" s="70" t="s">
        <v>274</v>
      </c>
      <c r="M9" s="48" t="s">
        <v>85</v>
      </c>
      <c r="N9" s="48" t="s">
        <v>27</v>
      </c>
      <c r="O9" s="71">
        <v>8.39209484E8</v>
      </c>
      <c r="P9" s="56" t="s">
        <v>276</v>
      </c>
      <c r="Q9" s="53">
        <v>35662.0</v>
      </c>
      <c r="R9" s="73"/>
      <c r="S9" s="73"/>
    </row>
    <row r="10">
      <c r="A10" s="33" t="s">
        <v>279</v>
      </c>
      <c r="B10" s="34" t="s">
        <v>264</v>
      </c>
      <c r="C10" s="35" t="s">
        <v>280</v>
      </c>
      <c r="D10" s="36" t="s">
        <v>281</v>
      </c>
      <c r="E10" s="37" t="str">
        <f t="shared" si="1"/>
        <v>จ.ส.อ.หญิง อมรรัตน์ จันทร์ยิด</v>
      </c>
      <c r="F10" s="63" t="s">
        <v>111</v>
      </c>
      <c r="G10" s="35" t="s">
        <v>283</v>
      </c>
      <c r="H10" s="36" t="s">
        <v>285</v>
      </c>
      <c r="I10" s="48">
        <v>6.591050618E9</v>
      </c>
      <c r="J10" s="48">
        <v>1.710500028054E12</v>
      </c>
      <c r="K10" s="36" t="s">
        <v>289</v>
      </c>
      <c r="L10" s="36" t="s">
        <v>291</v>
      </c>
      <c r="M10" s="48" t="s">
        <v>85</v>
      </c>
      <c r="N10" s="48" t="s">
        <v>27</v>
      </c>
      <c r="O10" s="94">
        <v>9.10374905E8</v>
      </c>
      <c r="P10" s="56" t="s">
        <v>296</v>
      </c>
      <c r="Q10" s="53">
        <v>31165.0</v>
      </c>
      <c r="R10" s="73"/>
      <c r="S10" s="73"/>
    </row>
    <row r="11">
      <c r="A11" s="33" t="s">
        <v>300</v>
      </c>
      <c r="B11" s="34" t="s">
        <v>264</v>
      </c>
      <c r="C11" s="35" t="s">
        <v>301</v>
      </c>
      <c r="D11" s="36" t="s">
        <v>302</v>
      </c>
      <c r="E11" s="37" t="str">
        <f t="shared" si="1"/>
        <v>จ.ส.อ.หญิง ศศินี บรรเทา</v>
      </c>
      <c r="F11" s="63" t="s">
        <v>111</v>
      </c>
      <c r="G11" s="35" t="s">
        <v>306</v>
      </c>
      <c r="H11" s="36" t="s">
        <v>307</v>
      </c>
      <c r="I11" s="48">
        <v>6.57105103E9</v>
      </c>
      <c r="J11" s="48">
        <v>1.409800167425E12</v>
      </c>
      <c r="K11" s="91" t="s">
        <v>308</v>
      </c>
      <c r="L11" s="70" t="s">
        <v>311</v>
      </c>
      <c r="M11" s="48" t="s">
        <v>72</v>
      </c>
      <c r="N11" s="48" t="s">
        <v>27</v>
      </c>
      <c r="O11" s="42">
        <v>8.56668289E8</v>
      </c>
      <c r="P11" s="56" t="s">
        <v>314</v>
      </c>
      <c r="Q11" s="53">
        <v>33404.0</v>
      </c>
      <c r="R11" s="73"/>
      <c r="S11" s="73"/>
    </row>
    <row r="12">
      <c r="A12" s="33" t="s">
        <v>321</v>
      </c>
      <c r="B12" s="34" t="s">
        <v>322</v>
      </c>
      <c r="C12" s="35" t="s">
        <v>323</v>
      </c>
      <c r="D12" s="36" t="s">
        <v>324</v>
      </c>
      <c r="E12" s="37" t="str">
        <f t="shared" si="1"/>
        <v>ส.ท. พงศกร แก่โอ๊ก</v>
      </c>
      <c r="F12" s="75" t="s">
        <v>325</v>
      </c>
      <c r="G12" s="96" t="s">
        <v>326</v>
      </c>
      <c r="H12" s="70" t="s">
        <v>327</v>
      </c>
      <c r="I12" s="97">
        <v>1.634900209E9</v>
      </c>
      <c r="J12" s="97">
        <v>1.709901261432E12</v>
      </c>
      <c r="K12" s="36" t="s">
        <v>331</v>
      </c>
      <c r="L12" s="70" t="s">
        <v>334</v>
      </c>
      <c r="M12" s="97" t="s">
        <v>85</v>
      </c>
      <c r="N12" s="39" t="s">
        <v>73</v>
      </c>
      <c r="O12" s="42">
        <v>9.53177597E8</v>
      </c>
      <c r="P12" s="61" t="s">
        <v>336</v>
      </c>
      <c r="Q12" s="53">
        <v>36262.0</v>
      </c>
      <c r="R12" s="73"/>
      <c r="S12" s="73"/>
    </row>
    <row r="13">
      <c r="A13" s="33" t="s">
        <v>347</v>
      </c>
      <c r="B13" s="34" t="s">
        <v>349</v>
      </c>
      <c r="C13" s="35" t="s">
        <v>350</v>
      </c>
      <c r="D13" s="36" t="s">
        <v>352</v>
      </c>
      <c r="E13" s="37" t="str">
        <f t="shared" si="1"/>
        <v>ส.อ. ธงไชย สมศรี</v>
      </c>
      <c r="F13" s="75" t="s">
        <v>353</v>
      </c>
      <c r="G13" s="35" t="s">
        <v>354</v>
      </c>
      <c r="H13" s="36" t="s">
        <v>355</v>
      </c>
      <c r="I13" s="97">
        <v>1.574901598E9</v>
      </c>
      <c r="J13" s="97">
        <v>1.110300114076E12</v>
      </c>
      <c r="K13" s="36" t="s">
        <v>357</v>
      </c>
      <c r="L13" s="36" t="s">
        <v>358</v>
      </c>
      <c r="M13" s="48" t="s">
        <v>85</v>
      </c>
      <c r="N13" s="39" t="s">
        <v>73</v>
      </c>
      <c r="O13" s="42">
        <v>8.2951439E8</v>
      </c>
      <c r="P13" s="61" t="s">
        <v>359</v>
      </c>
      <c r="Q13" s="53">
        <v>34301.0</v>
      </c>
      <c r="R13" s="73"/>
      <c r="S13" s="73"/>
    </row>
    <row r="14">
      <c r="A14" s="33" t="s">
        <v>372</v>
      </c>
      <c r="B14" s="34" t="s">
        <v>106</v>
      </c>
      <c r="C14" s="35" t="s">
        <v>373</v>
      </c>
      <c r="D14" s="36" t="s">
        <v>374</v>
      </c>
      <c r="E14" s="37" t="str">
        <f t="shared" si="1"/>
        <v>จ.ส.อ. สุขสรรค์ เมืองชุมพล</v>
      </c>
      <c r="F14" s="63" t="s">
        <v>111</v>
      </c>
      <c r="G14" s="35" t="s">
        <v>377</v>
      </c>
      <c r="H14" s="36" t="s">
        <v>378</v>
      </c>
      <c r="I14" s="48">
        <v>1.384601951E9</v>
      </c>
      <c r="J14" s="48">
        <v>3.451000418805E12</v>
      </c>
      <c r="K14" s="36" t="s">
        <v>380</v>
      </c>
      <c r="L14" s="70" t="s">
        <v>381</v>
      </c>
      <c r="M14" s="48" t="s">
        <v>85</v>
      </c>
      <c r="N14" s="39" t="s">
        <v>73</v>
      </c>
      <c r="O14" s="42">
        <v>6.25198417E8</v>
      </c>
      <c r="P14" s="56" t="s">
        <v>382</v>
      </c>
      <c r="Q14" s="53">
        <v>27111.0</v>
      </c>
      <c r="R14" s="73"/>
      <c r="S14" s="73"/>
    </row>
    <row r="15">
      <c r="A15" s="33" t="s">
        <v>397</v>
      </c>
      <c r="B15" s="34" t="s">
        <v>398</v>
      </c>
      <c r="C15" s="35" t="s">
        <v>399</v>
      </c>
      <c r="D15" s="36" t="s">
        <v>400</v>
      </c>
      <c r="E15" s="102" t="str">
        <f t="shared" si="1"/>
        <v>จ.ส.ท. อภิวัฒน์ เหมือนแก้ว</v>
      </c>
      <c r="F15" s="63" t="s">
        <v>410</v>
      </c>
      <c r="G15" s="35" t="s">
        <v>411</v>
      </c>
      <c r="H15" s="70" t="s">
        <v>413</v>
      </c>
      <c r="I15" s="48">
        <v>1.55330759E9</v>
      </c>
      <c r="J15" s="48">
        <v>1.100501019411E12</v>
      </c>
      <c r="K15" s="36" t="s">
        <v>414</v>
      </c>
      <c r="L15" s="36" t="s">
        <v>416</v>
      </c>
      <c r="M15" s="48" t="s">
        <v>155</v>
      </c>
      <c r="N15" s="39" t="s">
        <v>73</v>
      </c>
      <c r="O15" s="42">
        <v>8.4206515E8</v>
      </c>
      <c r="P15" s="61" t="s">
        <v>418</v>
      </c>
      <c r="Q15" s="53">
        <v>34172.0</v>
      </c>
      <c r="R15" s="73"/>
      <c r="S15" s="73"/>
    </row>
    <row r="16">
      <c r="A16" s="33" t="s">
        <v>427</v>
      </c>
      <c r="B16" s="34" t="s">
        <v>106</v>
      </c>
      <c r="C16" s="35" t="s">
        <v>429</v>
      </c>
      <c r="D16" s="36" t="s">
        <v>431</v>
      </c>
      <c r="E16" s="37" t="str">
        <f t="shared" si="1"/>
        <v>จ.ส.อ. ทนกฤต ครองชนม์</v>
      </c>
      <c r="F16" s="63" t="s">
        <v>111</v>
      </c>
      <c r="G16" s="35" t="s">
        <v>434</v>
      </c>
      <c r="H16" s="36" t="s">
        <v>436</v>
      </c>
      <c r="I16" s="48">
        <v>1.541901588E9</v>
      </c>
      <c r="J16" s="48">
        <v>1.102001774084E12</v>
      </c>
      <c r="K16" s="36" t="s">
        <v>439</v>
      </c>
      <c r="L16" s="36" t="s">
        <v>441</v>
      </c>
      <c r="M16" s="48" t="s">
        <v>85</v>
      </c>
      <c r="N16" s="39" t="s">
        <v>73</v>
      </c>
      <c r="O16" s="42">
        <v>8.74943511E8</v>
      </c>
      <c r="P16" s="56" t="s">
        <v>444</v>
      </c>
      <c r="Q16" s="53">
        <v>33824.0</v>
      </c>
      <c r="R16" s="73"/>
      <c r="S16" s="73"/>
    </row>
    <row r="17">
      <c r="A17" s="33" t="s">
        <v>455</v>
      </c>
      <c r="B17" s="34" t="s">
        <v>349</v>
      </c>
      <c r="C17" s="35" t="s">
        <v>458</v>
      </c>
      <c r="D17" s="36" t="s">
        <v>460</v>
      </c>
      <c r="E17" s="37" t="str">
        <f t="shared" si="1"/>
        <v>ส.อ. เลิศวรรธน์ ศรีสุวรรณ์</v>
      </c>
      <c r="F17" s="63" t="s">
        <v>353</v>
      </c>
      <c r="G17" s="35" t="s">
        <v>467</v>
      </c>
      <c r="H17" s="36" t="s">
        <v>469</v>
      </c>
      <c r="I17" s="48">
        <v>1.56600114E9</v>
      </c>
      <c r="J17" s="48">
        <v>1.749800150511E12</v>
      </c>
      <c r="K17" s="36" t="s">
        <v>472</v>
      </c>
      <c r="L17" s="36" t="s">
        <v>473</v>
      </c>
      <c r="M17" s="48" t="s">
        <v>155</v>
      </c>
      <c r="N17" s="39" t="s">
        <v>73</v>
      </c>
      <c r="O17" s="42">
        <v>9.51915263E8</v>
      </c>
      <c r="P17" s="56" t="s">
        <v>477</v>
      </c>
      <c r="Q17" s="57">
        <v>34823.0</v>
      </c>
      <c r="R17" s="59"/>
      <c r="S17" s="59"/>
    </row>
    <row r="18">
      <c r="A18" s="33" t="s">
        <v>492</v>
      </c>
      <c r="B18" s="34" t="s">
        <v>106</v>
      </c>
      <c r="C18" s="35" t="s">
        <v>493</v>
      </c>
      <c r="D18" s="36" t="s">
        <v>494</v>
      </c>
      <c r="E18" s="37" t="str">
        <f t="shared" si="1"/>
        <v>จ.ส.อ. พัลลภ คงสุวรรณ</v>
      </c>
      <c r="F18" s="63" t="s">
        <v>111</v>
      </c>
      <c r="G18" s="35" t="s">
        <v>496</v>
      </c>
      <c r="H18" s="36" t="s">
        <v>498</v>
      </c>
      <c r="I18" s="48">
        <v>1.540700316E9</v>
      </c>
      <c r="J18" s="48">
        <v>1.200100323908E12</v>
      </c>
      <c r="K18" s="36" t="s">
        <v>499</v>
      </c>
      <c r="L18" s="36" t="s">
        <v>500</v>
      </c>
      <c r="M18" s="48" t="s">
        <v>155</v>
      </c>
      <c r="N18" s="39" t="s">
        <v>73</v>
      </c>
      <c r="O18" s="42">
        <v>9.72984829E8</v>
      </c>
      <c r="P18" s="56" t="s">
        <v>503</v>
      </c>
      <c r="Q18" s="53">
        <v>33192.0</v>
      </c>
      <c r="R18" s="73"/>
      <c r="S18" s="73"/>
    </row>
    <row r="19">
      <c r="A19" s="33" t="s">
        <v>520</v>
      </c>
      <c r="B19" s="74" t="s">
        <v>106</v>
      </c>
      <c r="C19" s="35" t="s">
        <v>521</v>
      </c>
      <c r="D19" s="36" t="s">
        <v>522</v>
      </c>
      <c r="E19" s="37" t="str">
        <f t="shared" si="1"/>
        <v>จ.ส.อ. อาคม สวนผึ้ง</v>
      </c>
      <c r="F19" s="63" t="s">
        <v>410</v>
      </c>
      <c r="G19" s="35" t="s">
        <v>523</v>
      </c>
      <c r="H19" s="70" t="s">
        <v>524</v>
      </c>
      <c r="I19" s="48">
        <v>1.544900428E9</v>
      </c>
      <c r="J19" s="48">
        <v>1.700300046547E12</v>
      </c>
      <c r="K19" s="36" t="s">
        <v>525</v>
      </c>
      <c r="L19" s="36" t="s">
        <v>526</v>
      </c>
      <c r="M19" s="97" t="s">
        <v>85</v>
      </c>
      <c r="N19" s="39" t="s">
        <v>73</v>
      </c>
      <c r="O19" s="42">
        <v>9.73136513E8</v>
      </c>
      <c r="P19" s="56" t="s">
        <v>530</v>
      </c>
      <c r="Q19" s="57">
        <v>32944.0</v>
      </c>
      <c r="R19" s="59"/>
      <c r="S19" s="59"/>
    </row>
    <row r="20">
      <c r="A20" s="33" t="s">
        <v>551</v>
      </c>
      <c r="B20" s="34" t="s">
        <v>106</v>
      </c>
      <c r="C20" s="35" t="s">
        <v>554</v>
      </c>
      <c r="D20" s="36" t="s">
        <v>556</v>
      </c>
      <c r="E20" s="37" t="str">
        <f t="shared" si="1"/>
        <v>จ.ส.อ. สิทธิเดช ชะเอม</v>
      </c>
      <c r="F20" s="63" t="s">
        <v>111</v>
      </c>
      <c r="G20" s="35" t="s">
        <v>560</v>
      </c>
      <c r="H20" s="36" t="s">
        <v>562</v>
      </c>
      <c r="I20" s="48">
        <v>1.543901009E9</v>
      </c>
      <c r="J20" s="48">
        <v>1.76990016901E12</v>
      </c>
      <c r="K20" s="36" t="s">
        <v>564</v>
      </c>
      <c r="L20" s="36" t="s">
        <v>202</v>
      </c>
      <c r="M20" s="48" t="s">
        <v>85</v>
      </c>
      <c r="N20" s="39" t="s">
        <v>73</v>
      </c>
      <c r="O20" s="42">
        <v>9.09622294E8</v>
      </c>
      <c r="P20" s="56" t="s">
        <v>566</v>
      </c>
      <c r="Q20" s="53">
        <v>32430.0</v>
      </c>
      <c r="R20" s="73"/>
      <c r="S20" s="73"/>
    </row>
    <row r="21">
      <c r="A21" s="33" t="s">
        <v>586</v>
      </c>
      <c r="B21" s="34" t="s">
        <v>264</v>
      </c>
      <c r="C21" s="35" t="s">
        <v>587</v>
      </c>
      <c r="D21" s="36" t="s">
        <v>588</v>
      </c>
      <c r="E21" s="37" t="str">
        <f t="shared" si="1"/>
        <v>จ.ส.อ.หญิง ศรัณย์รัฏ อร่ามเกลื้อ</v>
      </c>
      <c r="F21" s="63" t="s">
        <v>111</v>
      </c>
      <c r="G21" s="35" t="s">
        <v>589</v>
      </c>
      <c r="H21" s="36" t="s">
        <v>590</v>
      </c>
      <c r="I21" s="48">
        <v>6.541011454E9</v>
      </c>
      <c r="J21" s="48">
        <v>5.700190008207E12</v>
      </c>
      <c r="K21" s="36" t="s">
        <v>591</v>
      </c>
      <c r="L21" s="70" t="s">
        <v>592</v>
      </c>
      <c r="M21" s="48" t="s">
        <v>85</v>
      </c>
      <c r="N21" s="39" t="s">
        <v>73</v>
      </c>
      <c r="O21" s="42">
        <v>8.82658661E8</v>
      </c>
      <c r="P21" s="56" t="s">
        <v>594</v>
      </c>
      <c r="Q21" s="53">
        <v>30413.0</v>
      </c>
      <c r="R21" s="73"/>
      <c r="S21" s="73"/>
    </row>
    <row r="22">
      <c r="A22" s="33" t="s">
        <v>612</v>
      </c>
      <c r="B22" s="128" t="s">
        <v>106</v>
      </c>
      <c r="C22" s="129" t="s">
        <v>614</v>
      </c>
      <c r="D22" s="130" t="s">
        <v>617</v>
      </c>
      <c r="E22" s="37" t="str">
        <f t="shared" si="1"/>
        <v>จ.ส.อ. อิสระ พระอนงค์</v>
      </c>
      <c r="F22" s="63" t="s">
        <v>111</v>
      </c>
      <c r="G22" s="133" t="s">
        <v>620</v>
      </c>
      <c r="H22" s="124" t="s">
        <v>626</v>
      </c>
      <c r="I22" s="135">
        <v>1.540200752E9</v>
      </c>
      <c r="J22" s="135">
        <v>1.71990016333E12</v>
      </c>
      <c r="K22" s="133" t="s">
        <v>629</v>
      </c>
      <c r="L22" s="136" t="s">
        <v>202</v>
      </c>
      <c r="M22" s="135" t="s">
        <v>85</v>
      </c>
      <c r="N22" s="39" t="s">
        <v>426</v>
      </c>
      <c r="O22" s="42">
        <v>9.0437115E8</v>
      </c>
      <c r="P22" s="61" t="s">
        <v>635</v>
      </c>
      <c r="Q22" s="53">
        <v>32524.0</v>
      </c>
      <c r="R22" s="73"/>
      <c r="S22" s="73"/>
    </row>
    <row r="23">
      <c r="A23" s="33" t="s">
        <v>644</v>
      </c>
      <c r="B23" s="138" t="s">
        <v>646</v>
      </c>
      <c r="C23" s="129" t="s">
        <v>649</v>
      </c>
      <c r="D23" s="140" t="s">
        <v>652</v>
      </c>
      <c r="E23" s="37" t="str">
        <f t="shared" si="1"/>
        <v>จ.ส.ต. กิติศักดิ์ ทองคำ</v>
      </c>
      <c r="F23" s="63" t="s">
        <v>659</v>
      </c>
      <c r="G23" s="133" t="s">
        <v>661</v>
      </c>
      <c r="H23" s="124" t="s">
        <v>662</v>
      </c>
      <c r="I23" s="135">
        <v>1.480200119E9</v>
      </c>
      <c r="J23" s="135">
        <v>1.710100010581E12</v>
      </c>
      <c r="K23" s="133" t="s">
        <v>629</v>
      </c>
      <c r="L23" s="143" t="s">
        <v>665</v>
      </c>
      <c r="M23" s="135" t="s">
        <v>72</v>
      </c>
      <c r="N23" s="39" t="s">
        <v>426</v>
      </c>
      <c r="O23" s="42">
        <v>8.71339242E8</v>
      </c>
      <c r="P23" s="61" t="s">
        <v>667</v>
      </c>
      <c r="Q23" s="57">
        <v>30953.0</v>
      </c>
      <c r="R23" s="59"/>
      <c r="S23" s="59"/>
    </row>
    <row r="24">
      <c r="A24" s="33" t="s">
        <v>680</v>
      </c>
      <c r="B24" s="34" t="s">
        <v>349</v>
      </c>
      <c r="C24" s="145" t="s">
        <v>681</v>
      </c>
      <c r="D24" s="147" t="s">
        <v>682</v>
      </c>
      <c r="E24" s="37" t="str">
        <f t="shared" si="1"/>
        <v>ส.อ. รณชิต กระต่ายทอง</v>
      </c>
      <c r="F24" s="149" t="s">
        <v>353</v>
      </c>
      <c r="G24" s="145" t="s">
        <v>687</v>
      </c>
      <c r="H24" s="147" t="s">
        <v>688</v>
      </c>
      <c r="I24" s="151">
        <v>1.610022014E9</v>
      </c>
      <c r="J24" s="153">
        <v>1.710200101074E12</v>
      </c>
      <c r="K24" s="147" t="s">
        <v>695</v>
      </c>
      <c r="L24" s="70" t="s">
        <v>696</v>
      </c>
      <c r="M24" s="48" t="s">
        <v>72</v>
      </c>
      <c r="N24" s="39" t="s">
        <v>426</v>
      </c>
      <c r="O24" s="42">
        <v>6.16403308E8</v>
      </c>
      <c r="P24" s="56" t="s">
        <v>700</v>
      </c>
      <c r="Q24" s="57">
        <v>36047.0</v>
      </c>
      <c r="R24" s="59"/>
      <c r="S24" s="59"/>
    </row>
    <row r="25">
      <c r="A25" s="33" t="s">
        <v>706</v>
      </c>
      <c r="B25" s="158" t="s">
        <v>398</v>
      </c>
      <c r="C25" s="145" t="s">
        <v>710</v>
      </c>
      <c r="D25" s="147" t="s">
        <v>712</v>
      </c>
      <c r="E25" s="37" t="str">
        <f t="shared" si="1"/>
        <v>จ.ส.ท. ธนพล นาคปิ่น</v>
      </c>
      <c r="F25" s="159" t="s">
        <v>718</v>
      </c>
      <c r="G25" s="145" t="s">
        <v>722</v>
      </c>
      <c r="H25" s="147" t="s">
        <v>725</v>
      </c>
      <c r="I25" s="135">
        <v>1.566900812E9</v>
      </c>
      <c r="J25" s="135">
        <v>1.103700745777E12</v>
      </c>
      <c r="K25" s="124" t="s">
        <v>729</v>
      </c>
      <c r="L25" s="147" t="s">
        <v>731</v>
      </c>
      <c r="M25" s="135" t="s">
        <v>155</v>
      </c>
      <c r="N25" s="144" t="s">
        <v>666</v>
      </c>
      <c r="O25" s="42">
        <v>9.59248085E8</v>
      </c>
      <c r="P25" s="61" t="s">
        <v>736</v>
      </c>
      <c r="Q25" s="53">
        <v>33691.0</v>
      </c>
      <c r="R25" s="73"/>
      <c r="S25" s="73"/>
    </row>
    <row r="26">
      <c r="A26" s="33" t="s">
        <v>749</v>
      </c>
      <c r="B26" s="158" t="s">
        <v>349</v>
      </c>
      <c r="C26" s="35" t="s">
        <v>750</v>
      </c>
      <c r="D26" s="36" t="s">
        <v>751</v>
      </c>
      <c r="E26" s="37" t="str">
        <f t="shared" si="1"/>
        <v>ส.อ. ไพศาล ผูกจิตต์</v>
      </c>
      <c r="F26" s="63" t="s">
        <v>353</v>
      </c>
      <c r="G26" s="35" t="s">
        <v>754</v>
      </c>
      <c r="H26" s="36" t="s">
        <v>757</v>
      </c>
      <c r="I26" s="121">
        <v>1.596900966E9</v>
      </c>
      <c r="J26" s="121">
        <v>1.530800055415E12</v>
      </c>
      <c r="K26" s="147" t="s">
        <v>759</v>
      </c>
      <c r="L26" s="124" t="s">
        <v>760</v>
      </c>
      <c r="M26" s="121" t="s">
        <v>85</v>
      </c>
      <c r="N26" s="144" t="s">
        <v>666</v>
      </c>
      <c r="O26" s="42">
        <v>9.42092431E8</v>
      </c>
      <c r="P26" s="56" t="s">
        <v>762</v>
      </c>
      <c r="Q26" s="53">
        <v>35045.0</v>
      </c>
      <c r="R26" s="73"/>
      <c r="S26" s="73"/>
    </row>
    <row r="27">
      <c r="A27" s="33" t="s">
        <v>769</v>
      </c>
      <c r="B27" s="158" t="s">
        <v>349</v>
      </c>
      <c r="C27" s="145" t="s">
        <v>772</v>
      </c>
      <c r="D27" s="147" t="s">
        <v>774</v>
      </c>
      <c r="E27" s="37" t="str">
        <f t="shared" si="1"/>
        <v>ส.อ. บารมี หรีกประโคน</v>
      </c>
      <c r="F27" s="149" t="s">
        <v>353</v>
      </c>
      <c r="G27" s="145" t="s">
        <v>776</v>
      </c>
      <c r="H27" s="147" t="s">
        <v>778</v>
      </c>
      <c r="I27" s="121">
        <v>1.592802057E9</v>
      </c>
      <c r="J27" s="121">
        <v>1.32990044099E12</v>
      </c>
      <c r="K27" s="147" t="s">
        <v>781</v>
      </c>
      <c r="L27" s="147" t="s">
        <v>783</v>
      </c>
      <c r="M27" s="121" t="s">
        <v>72</v>
      </c>
      <c r="N27" s="144" t="s">
        <v>666</v>
      </c>
      <c r="O27" s="42">
        <v>8.38835433E8</v>
      </c>
      <c r="P27" s="56" t="s">
        <v>788</v>
      </c>
      <c r="Q27" s="57">
        <v>34133.0</v>
      </c>
      <c r="R27" s="59"/>
      <c r="S27" s="59"/>
    </row>
    <row r="28">
      <c r="A28" s="33" t="s">
        <v>796</v>
      </c>
      <c r="B28" s="34" t="s">
        <v>349</v>
      </c>
      <c r="C28" s="35" t="s">
        <v>797</v>
      </c>
      <c r="D28" s="36" t="s">
        <v>799</v>
      </c>
      <c r="E28" s="37" t="str">
        <f t="shared" si="1"/>
        <v>ส.อ. เทพสถาพร อยู่แก้ว</v>
      </c>
      <c r="F28" s="149" t="s">
        <v>353</v>
      </c>
      <c r="G28" s="145" t="s">
        <v>802</v>
      </c>
      <c r="H28" s="145" t="s">
        <v>803</v>
      </c>
      <c r="I28" s="160">
        <v>1.586501704E9</v>
      </c>
      <c r="J28" s="160">
        <v>1.849900119631E12</v>
      </c>
      <c r="K28" s="36" t="s">
        <v>806</v>
      </c>
      <c r="L28" s="36" t="s">
        <v>807</v>
      </c>
      <c r="M28" s="48" t="s">
        <v>72</v>
      </c>
      <c r="N28" s="144" t="s">
        <v>666</v>
      </c>
      <c r="O28" s="42">
        <v>6.39202159E8</v>
      </c>
      <c r="P28" s="56" t="s">
        <v>809</v>
      </c>
      <c r="Q28" s="53">
        <v>34166.0</v>
      </c>
      <c r="R28" s="73"/>
      <c r="S28" s="73"/>
    </row>
    <row r="29">
      <c r="A29" s="33" t="s">
        <v>821</v>
      </c>
      <c r="B29" s="158" t="s">
        <v>609</v>
      </c>
      <c r="C29" s="35" t="s">
        <v>823</v>
      </c>
      <c r="D29" s="36" t="s">
        <v>824</v>
      </c>
      <c r="E29" s="47" t="str">
        <f t="shared" si="1"/>
        <v>ร.ต. ศุภกานต์ ขุนทรง</v>
      </c>
      <c r="F29" s="161" t="s">
        <v>825</v>
      </c>
      <c r="G29" s="162" t="s">
        <v>827</v>
      </c>
      <c r="H29" s="163" t="s">
        <v>829</v>
      </c>
      <c r="I29" s="164">
        <v>1.603313026E9</v>
      </c>
      <c r="J29" s="164">
        <v>1.104000022226E12</v>
      </c>
      <c r="K29" s="165" t="s">
        <v>830</v>
      </c>
      <c r="L29" s="50" t="s">
        <v>84</v>
      </c>
      <c r="M29" s="48" t="s">
        <v>188</v>
      </c>
      <c r="N29" s="48" t="s">
        <v>734</v>
      </c>
      <c r="O29" s="42">
        <v>9.27808399E8</v>
      </c>
      <c r="P29" s="61" t="s">
        <v>836</v>
      </c>
      <c r="Q29" s="166">
        <v>36021.0</v>
      </c>
      <c r="R29" s="167"/>
      <c r="S29" s="167"/>
    </row>
    <row r="30">
      <c r="A30" s="33" t="s">
        <v>856</v>
      </c>
      <c r="B30" s="34" t="s">
        <v>303</v>
      </c>
      <c r="C30" s="35" t="s">
        <v>858</v>
      </c>
      <c r="D30" s="36" t="s">
        <v>860</v>
      </c>
      <c r="E30" s="47" t="str">
        <f t="shared" si="1"/>
        <v>ร.อ.หญิง ศศิกานต์ หอมประเสริฐ</v>
      </c>
      <c r="F30" s="63" t="s">
        <v>115</v>
      </c>
      <c r="G30" s="35" t="s">
        <v>863</v>
      </c>
      <c r="H30" s="36" t="s">
        <v>864</v>
      </c>
      <c r="I30" s="48">
        <v>6.581013106E9</v>
      </c>
      <c r="J30" s="48">
        <v>1.199900355641E12</v>
      </c>
      <c r="K30" s="36" t="s">
        <v>866</v>
      </c>
      <c r="L30" s="36" t="s">
        <v>867</v>
      </c>
      <c r="M30" s="48" t="s">
        <v>155</v>
      </c>
      <c r="N30" s="48" t="s">
        <v>734</v>
      </c>
      <c r="O30" s="42">
        <v>9.29956519E8</v>
      </c>
      <c r="P30" s="56" t="s">
        <v>868</v>
      </c>
      <c r="Q30" s="53">
        <v>33929.0</v>
      </c>
      <c r="R30" s="73"/>
      <c r="S30" s="73"/>
    </row>
    <row r="31">
      <c r="A31" s="33" t="s">
        <v>882</v>
      </c>
      <c r="B31" s="34" t="s">
        <v>883</v>
      </c>
      <c r="C31" s="35" t="s">
        <v>884</v>
      </c>
      <c r="D31" s="36" t="s">
        <v>885</v>
      </c>
      <c r="E31" s="47" t="str">
        <f t="shared" si="1"/>
        <v>พ.ต.หญิง ขนิษฐา สามารถ</v>
      </c>
      <c r="F31" s="63" t="s">
        <v>91</v>
      </c>
      <c r="G31" s="35" t="s">
        <v>886</v>
      </c>
      <c r="H31" s="36" t="s">
        <v>887</v>
      </c>
      <c r="I31" s="48">
        <v>6.55101303E9</v>
      </c>
      <c r="J31" s="48">
        <v>1.100701048244E12</v>
      </c>
      <c r="K31" s="36" t="s">
        <v>808</v>
      </c>
      <c r="L31" s="36" t="s">
        <v>888</v>
      </c>
      <c r="M31" s="48" t="s">
        <v>72</v>
      </c>
      <c r="N31" s="48" t="s">
        <v>734</v>
      </c>
      <c r="O31" s="42">
        <v>8.51541615E8</v>
      </c>
      <c r="P31" s="56" t="s">
        <v>889</v>
      </c>
      <c r="Q31" s="53">
        <v>32752.0</v>
      </c>
      <c r="R31" s="73"/>
      <c r="S31" s="73"/>
    </row>
    <row r="32">
      <c r="A32" s="33" t="s">
        <v>903</v>
      </c>
      <c r="B32" s="85" t="s">
        <v>109</v>
      </c>
      <c r="C32" s="83" t="s">
        <v>904</v>
      </c>
      <c r="D32" s="86" t="s">
        <v>905</v>
      </c>
      <c r="E32" s="47" t="str">
        <f t="shared" si="1"/>
        <v>ร.อ. เจตนิพัทธ์ จันทร์เรือง</v>
      </c>
      <c r="F32" s="82" t="s">
        <v>115</v>
      </c>
      <c r="G32" s="83" t="s">
        <v>908</v>
      </c>
      <c r="H32" s="86" t="s">
        <v>909</v>
      </c>
      <c r="I32" s="20">
        <v>1.564900728E9</v>
      </c>
      <c r="J32" s="20">
        <v>1.101500767279E12</v>
      </c>
      <c r="K32" s="86" t="s">
        <v>808</v>
      </c>
      <c r="L32" s="29" t="s">
        <v>84</v>
      </c>
      <c r="M32" s="77" t="s">
        <v>72</v>
      </c>
      <c r="N32" s="77" t="s">
        <v>734</v>
      </c>
      <c r="O32" s="117" t="s">
        <v>919</v>
      </c>
      <c r="P32" s="66" t="s">
        <v>922</v>
      </c>
      <c r="Q32" s="57">
        <v>34616.0</v>
      </c>
      <c r="R32" s="46"/>
      <c r="S32" s="73"/>
    </row>
    <row r="33">
      <c r="A33" s="33" t="s">
        <v>924</v>
      </c>
      <c r="B33" s="34" t="s">
        <v>264</v>
      </c>
      <c r="C33" s="35" t="s">
        <v>927</v>
      </c>
      <c r="D33" s="36" t="s">
        <v>930</v>
      </c>
      <c r="E33" s="37" t="str">
        <f t="shared" si="1"/>
        <v>จ.ส.อ.หญิง วันวิสาข์ ธารวาวแวว</v>
      </c>
      <c r="F33" s="63" t="s">
        <v>111</v>
      </c>
      <c r="G33" s="35" t="s">
        <v>934</v>
      </c>
      <c r="H33" s="70" t="s">
        <v>936</v>
      </c>
      <c r="I33" s="48">
        <v>6.551013122E9</v>
      </c>
      <c r="J33" s="48">
        <v>1.101500591162E12</v>
      </c>
      <c r="K33" s="36" t="s">
        <v>939</v>
      </c>
      <c r="L33" s="136" t="s">
        <v>202</v>
      </c>
      <c r="M33" s="48" t="s">
        <v>72</v>
      </c>
      <c r="N33" s="48" t="s">
        <v>734</v>
      </c>
      <c r="O33" s="42">
        <v>8.09654252E8</v>
      </c>
      <c r="P33" s="168" t="s">
        <v>942</v>
      </c>
      <c r="Q33" s="53">
        <v>33744.0</v>
      </c>
      <c r="R33" s="73"/>
      <c r="S33" s="73"/>
    </row>
    <row r="34">
      <c r="A34" s="33" t="s">
        <v>956</v>
      </c>
      <c r="B34" s="169" t="s">
        <v>349</v>
      </c>
      <c r="C34" s="35" t="s">
        <v>957</v>
      </c>
      <c r="D34" s="36" t="s">
        <v>958</v>
      </c>
      <c r="E34" s="37" t="str">
        <f t="shared" si="1"/>
        <v>ส.อ. ธานินทร์ เสนาะเสียง</v>
      </c>
      <c r="F34" s="63" t="s">
        <v>353</v>
      </c>
      <c r="G34" s="35" t="s">
        <v>959</v>
      </c>
      <c r="H34" s="36" t="s">
        <v>960</v>
      </c>
      <c r="I34" s="48">
        <v>1.596602959E9</v>
      </c>
      <c r="J34" s="48">
        <v>1.329900584622E12</v>
      </c>
      <c r="K34" s="36" t="s">
        <v>961</v>
      </c>
      <c r="L34" s="70" t="s">
        <v>962</v>
      </c>
      <c r="M34" s="48" t="s">
        <v>72</v>
      </c>
      <c r="N34" s="48" t="s">
        <v>734</v>
      </c>
      <c r="O34" s="42">
        <v>9.33964662E8</v>
      </c>
      <c r="P34" s="56" t="s">
        <v>963</v>
      </c>
      <c r="Q34" s="57">
        <v>34874.0</v>
      </c>
      <c r="R34" s="59"/>
      <c r="S34" s="59"/>
    </row>
    <row r="35">
      <c r="A35" s="33" t="s">
        <v>977</v>
      </c>
      <c r="B35" s="118" t="s">
        <v>135</v>
      </c>
      <c r="C35" s="26" t="s">
        <v>978</v>
      </c>
      <c r="D35" s="29" t="s">
        <v>979</v>
      </c>
      <c r="E35" s="47" t="str">
        <f t="shared" si="1"/>
        <v>ร.ท. อนุชิต บัวเลิศ</v>
      </c>
      <c r="F35" s="24" t="s">
        <v>80</v>
      </c>
      <c r="G35" s="26" t="s">
        <v>983</v>
      </c>
      <c r="H35" s="29" t="s">
        <v>984</v>
      </c>
      <c r="I35" s="150">
        <v>1.561101291E9</v>
      </c>
      <c r="J35" s="150">
        <v>1.869900256663E12</v>
      </c>
      <c r="K35" s="142" t="s">
        <v>989</v>
      </c>
      <c r="L35" s="142" t="s">
        <v>993</v>
      </c>
      <c r="M35" s="150" t="s">
        <v>155</v>
      </c>
      <c r="N35" s="39" t="s">
        <v>994</v>
      </c>
      <c r="O35" s="42">
        <v>8.36379994E8</v>
      </c>
      <c r="P35" s="56" t="s">
        <v>996</v>
      </c>
      <c r="Q35" s="53">
        <v>34940.0</v>
      </c>
      <c r="R35" s="73"/>
      <c r="S35" s="73"/>
    </row>
    <row r="36">
      <c r="A36" s="33" t="s">
        <v>999</v>
      </c>
      <c r="B36" s="118" t="s">
        <v>106</v>
      </c>
      <c r="C36" s="26" t="s">
        <v>261</v>
      </c>
      <c r="D36" s="29" t="s">
        <v>1000</v>
      </c>
      <c r="E36" s="37" t="str">
        <f t="shared" si="1"/>
        <v>จ.ส.อ. วิทยา เก็บกลาง</v>
      </c>
      <c r="F36" s="24" t="s">
        <v>111</v>
      </c>
      <c r="G36" s="26" t="s">
        <v>1002</v>
      </c>
      <c r="H36" s="29" t="s">
        <v>1005</v>
      </c>
      <c r="I36" s="121">
        <v>1.462103716E9</v>
      </c>
      <c r="J36" s="121">
        <v>4.301000001156E12</v>
      </c>
      <c r="K36" s="147" t="s">
        <v>1008</v>
      </c>
      <c r="L36" s="132" t="s">
        <v>1009</v>
      </c>
      <c r="M36" s="77" t="s">
        <v>85</v>
      </c>
      <c r="N36" s="39" t="s">
        <v>994</v>
      </c>
      <c r="O36" s="42">
        <v>8.6264761E8</v>
      </c>
      <c r="P36" s="56" t="s">
        <v>1014</v>
      </c>
      <c r="Q36" s="53">
        <v>30262.0</v>
      </c>
      <c r="R36" s="73"/>
      <c r="S36" s="73"/>
    </row>
    <row r="37">
      <c r="A37" s="33" t="s">
        <v>1022</v>
      </c>
      <c r="B37" s="118" t="s">
        <v>106</v>
      </c>
      <c r="C37" s="26" t="s">
        <v>1024</v>
      </c>
      <c r="D37" s="29" t="s">
        <v>1025</v>
      </c>
      <c r="E37" s="37" t="str">
        <f t="shared" si="1"/>
        <v>จ.ส.อ. สุริยา เสียงใส</v>
      </c>
      <c r="F37" s="24" t="s">
        <v>111</v>
      </c>
      <c r="G37" s="26" t="s">
        <v>1028</v>
      </c>
      <c r="H37" s="29" t="s">
        <v>1029</v>
      </c>
      <c r="I37" s="121">
        <v>1.534601754E9</v>
      </c>
      <c r="J37" s="121">
        <v>1.450200168716E12</v>
      </c>
      <c r="K37" s="147" t="s">
        <v>1030</v>
      </c>
      <c r="L37" s="123" t="s">
        <v>1031</v>
      </c>
      <c r="M37" s="77" t="s">
        <v>72</v>
      </c>
      <c r="N37" s="39" t="s">
        <v>994</v>
      </c>
      <c r="O37" s="42">
        <v>6.55619499E8</v>
      </c>
      <c r="P37" s="56" t="s">
        <v>1032</v>
      </c>
      <c r="Q37" s="53">
        <v>33595.0</v>
      </c>
      <c r="R37" s="73"/>
      <c r="S37" s="73"/>
    </row>
    <row r="38">
      <c r="A38" s="33" t="s">
        <v>1042</v>
      </c>
      <c r="B38" s="118" t="s">
        <v>106</v>
      </c>
      <c r="C38" s="26" t="s">
        <v>146</v>
      </c>
      <c r="D38" s="29" t="s">
        <v>1043</v>
      </c>
      <c r="E38" s="37" t="str">
        <f t="shared" si="1"/>
        <v>จ.ส.อ. วีรวัฒน์ ศรีภูธร</v>
      </c>
      <c r="F38" s="24" t="s">
        <v>111</v>
      </c>
      <c r="G38" s="26" t="s">
        <v>1044</v>
      </c>
      <c r="H38" s="29" t="s">
        <v>1045</v>
      </c>
      <c r="I38" s="77">
        <v>1.505502675E9</v>
      </c>
      <c r="J38" s="77">
        <v>1.470100182229E12</v>
      </c>
      <c r="K38" s="50" t="s">
        <v>1046</v>
      </c>
      <c r="L38" s="50" t="s">
        <v>1047</v>
      </c>
      <c r="M38" s="77" t="s">
        <v>72</v>
      </c>
      <c r="N38" s="39" t="s">
        <v>994</v>
      </c>
      <c r="O38" s="42">
        <v>9.05762107E8</v>
      </c>
      <c r="P38" s="56" t="s">
        <v>1048</v>
      </c>
      <c r="Q38" s="53">
        <v>32561.0</v>
      </c>
      <c r="R38" s="73"/>
      <c r="S38" s="73"/>
    </row>
    <row r="39">
      <c r="A39" s="33" t="s">
        <v>1059</v>
      </c>
      <c r="B39" s="171" t="s">
        <v>398</v>
      </c>
      <c r="C39" s="26" t="s">
        <v>1060</v>
      </c>
      <c r="D39" s="29" t="s">
        <v>1061</v>
      </c>
      <c r="E39" s="37" t="str">
        <f t="shared" si="1"/>
        <v>จ.ส.ท. ธีรพล นาเกลือ</v>
      </c>
      <c r="F39" s="98" t="s">
        <v>410</v>
      </c>
      <c r="G39" s="26" t="s">
        <v>1062</v>
      </c>
      <c r="H39" s="29" t="s">
        <v>1063</v>
      </c>
      <c r="I39" s="39">
        <v>1.581401719E9</v>
      </c>
      <c r="J39" s="39">
        <v>1.929900523709E12</v>
      </c>
      <c r="K39" s="29" t="s">
        <v>1064</v>
      </c>
      <c r="L39" s="86" t="s">
        <v>1065</v>
      </c>
      <c r="M39" s="39" t="s">
        <v>72</v>
      </c>
      <c r="N39" s="39" t="s">
        <v>994</v>
      </c>
      <c r="O39" s="42">
        <v>8.89511701E8</v>
      </c>
      <c r="P39" s="56" t="s">
        <v>1066</v>
      </c>
      <c r="Q39" s="57">
        <v>35171.0</v>
      </c>
      <c r="R39" s="59"/>
      <c r="S39" s="59"/>
    </row>
    <row r="40">
      <c r="A40" s="33" t="s">
        <v>1079</v>
      </c>
      <c r="B40" s="118" t="s">
        <v>349</v>
      </c>
      <c r="C40" s="26" t="s">
        <v>1080</v>
      </c>
      <c r="D40" s="29" t="s">
        <v>1081</v>
      </c>
      <c r="E40" s="37" t="str">
        <f t="shared" si="1"/>
        <v>ส.อ. ศตวรรษ พัตรสิงห์</v>
      </c>
      <c r="F40" s="24" t="s">
        <v>353</v>
      </c>
      <c r="G40" s="26" t="s">
        <v>1082</v>
      </c>
      <c r="H40" s="29" t="s">
        <v>1083</v>
      </c>
      <c r="I40" s="150">
        <v>1.556603264E9</v>
      </c>
      <c r="J40" s="150">
        <v>1.320700180406E12</v>
      </c>
      <c r="K40" s="148" t="s">
        <v>1084</v>
      </c>
      <c r="L40" s="172" t="s">
        <v>1085</v>
      </c>
      <c r="M40" s="150" t="s">
        <v>72</v>
      </c>
      <c r="N40" s="39" t="s">
        <v>994</v>
      </c>
      <c r="O40" s="42">
        <v>6.28515588E8</v>
      </c>
      <c r="P40" s="56" t="s">
        <v>1086</v>
      </c>
      <c r="Q40" s="53">
        <v>33395.0</v>
      </c>
      <c r="R40" s="73"/>
      <c r="S40" s="73"/>
    </row>
    <row r="41">
      <c r="A41" s="33" t="s">
        <v>1100</v>
      </c>
      <c r="B41" s="118" t="s">
        <v>106</v>
      </c>
      <c r="C41" s="26" t="s">
        <v>1101</v>
      </c>
      <c r="D41" s="29" t="s">
        <v>1102</v>
      </c>
      <c r="E41" s="37" t="str">
        <f t="shared" si="1"/>
        <v>จ.ส.อ. ศิริพรรณ ศรีอินทร์</v>
      </c>
      <c r="F41" s="24" t="s">
        <v>111</v>
      </c>
      <c r="G41" s="26" t="s">
        <v>1103</v>
      </c>
      <c r="H41" s="29" t="s">
        <v>1104</v>
      </c>
      <c r="I41" s="150">
        <v>1.533900914E9</v>
      </c>
      <c r="J41" s="150">
        <v>1.709900633051E12</v>
      </c>
      <c r="K41" s="142" t="s">
        <v>1105</v>
      </c>
      <c r="L41" s="173" t="s">
        <v>1047</v>
      </c>
      <c r="M41" s="150" t="s">
        <v>72</v>
      </c>
      <c r="N41" s="39" t="s">
        <v>994</v>
      </c>
      <c r="O41" s="42">
        <v>9.01535389E8</v>
      </c>
      <c r="P41" s="56" t="s">
        <v>1110</v>
      </c>
      <c r="Q41" s="57">
        <v>33423.0</v>
      </c>
      <c r="R41" s="59"/>
      <c r="S41" s="59"/>
    </row>
    <row r="42">
      <c r="A42" s="33" t="s">
        <v>1116</v>
      </c>
      <c r="B42" s="34" t="s">
        <v>106</v>
      </c>
      <c r="C42" s="35" t="s">
        <v>1117</v>
      </c>
      <c r="D42" s="147" t="s">
        <v>1118</v>
      </c>
      <c r="E42" s="37" t="str">
        <f t="shared" si="1"/>
        <v>จ.ส.อ. คมกฤช มีอยู่</v>
      </c>
      <c r="F42" s="63" t="s">
        <v>111</v>
      </c>
      <c r="G42" s="145" t="s">
        <v>1125</v>
      </c>
      <c r="H42" s="147" t="s">
        <v>1127</v>
      </c>
      <c r="I42" s="121">
        <v>1.483900748E9</v>
      </c>
      <c r="J42" s="121">
        <v>1.769900103418E12</v>
      </c>
      <c r="K42" s="147" t="s">
        <v>1046</v>
      </c>
      <c r="L42" s="123" t="s">
        <v>1130</v>
      </c>
      <c r="M42" s="48" t="s">
        <v>72</v>
      </c>
      <c r="N42" s="39" t="s">
        <v>994</v>
      </c>
      <c r="O42" s="42">
        <v>6.48247779E8</v>
      </c>
      <c r="P42" s="56" t="s">
        <v>1132</v>
      </c>
      <c r="Q42" s="53">
        <v>31530.0</v>
      </c>
      <c r="R42" s="73"/>
      <c r="S42" s="73"/>
    </row>
    <row r="43">
      <c r="A43" s="33" t="s">
        <v>1141</v>
      </c>
      <c r="B43" s="174" t="s">
        <v>106</v>
      </c>
      <c r="C43" s="175" t="s">
        <v>1146</v>
      </c>
      <c r="D43" s="176" t="s">
        <v>1147</v>
      </c>
      <c r="E43" s="177" t="str">
        <f t="shared" si="1"/>
        <v>จ.ส.อ. ชนแดน สิงห์แก้ว</v>
      </c>
      <c r="F43" s="178" t="s">
        <v>111</v>
      </c>
      <c r="G43" s="179" t="s">
        <v>1149</v>
      </c>
      <c r="H43" s="176" t="s">
        <v>1150</v>
      </c>
      <c r="I43" s="180">
        <v>1.430300381E9</v>
      </c>
      <c r="J43" s="180">
        <v>3.461300328798E12</v>
      </c>
      <c r="K43" s="176" t="s">
        <v>1151</v>
      </c>
      <c r="L43" s="181" t="s">
        <v>1152</v>
      </c>
      <c r="M43" s="182" t="s">
        <v>85</v>
      </c>
      <c r="N43" s="183" t="s">
        <v>994</v>
      </c>
      <c r="O43" s="184">
        <v>8.00211055E8</v>
      </c>
      <c r="P43" s="185" t="s">
        <v>1157</v>
      </c>
      <c r="Q43" s="186">
        <v>28865.0</v>
      </c>
      <c r="R43" s="73"/>
      <c r="S43" s="73"/>
    </row>
    <row r="44">
      <c r="A44" s="187"/>
      <c r="B44" s="188"/>
      <c r="C44" s="187"/>
      <c r="D44" s="187"/>
      <c r="E44" s="188"/>
      <c r="F44" s="188"/>
      <c r="G44" s="187"/>
      <c r="H44" s="187"/>
      <c r="I44" s="187"/>
      <c r="J44" s="187"/>
      <c r="K44" s="162"/>
      <c r="L44" s="162"/>
      <c r="M44" s="187"/>
      <c r="N44" s="187"/>
      <c r="O44" s="189"/>
      <c r="P44" s="190"/>
      <c r="Q44" s="167"/>
      <c r="R44" s="167"/>
      <c r="S44" s="167"/>
    </row>
    <row r="45">
      <c r="A45" s="187"/>
      <c r="B45" s="188"/>
      <c r="C45" s="187"/>
      <c r="D45" s="187"/>
      <c r="E45" s="188"/>
      <c r="F45" s="188"/>
      <c r="G45" s="187"/>
      <c r="H45" s="187"/>
      <c r="I45" s="187"/>
      <c r="J45" s="187"/>
      <c r="K45" s="162"/>
      <c r="L45" s="162"/>
      <c r="M45" s="187"/>
      <c r="N45" s="187"/>
      <c r="O45" s="189"/>
      <c r="P45" s="190"/>
      <c r="Q45" s="167"/>
      <c r="R45" s="167"/>
      <c r="S45" s="167"/>
    </row>
    <row r="46">
      <c r="A46" s="187"/>
      <c r="B46" s="188"/>
      <c r="C46" s="187"/>
      <c r="D46" s="187"/>
      <c r="E46" s="188"/>
      <c r="F46" s="188"/>
      <c r="G46" s="187"/>
      <c r="H46" s="187"/>
      <c r="I46" s="187"/>
      <c r="J46" s="187"/>
      <c r="K46" s="162"/>
      <c r="L46" s="162"/>
      <c r="M46" s="187"/>
      <c r="N46" s="187"/>
      <c r="O46" s="189"/>
      <c r="P46" s="190"/>
      <c r="Q46" s="167"/>
      <c r="R46" s="167"/>
      <c r="S46" s="167"/>
    </row>
    <row r="47">
      <c r="A47" s="187"/>
      <c r="B47" s="188"/>
      <c r="C47" s="187"/>
      <c r="D47" s="187"/>
      <c r="E47" s="188"/>
      <c r="F47" s="188"/>
      <c r="G47" s="187"/>
      <c r="H47" s="187"/>
      <c r="I47" s="187"/>
      <c r="J47" s="187"/>
      <c r="K47" s="162"/>
      <c r="L47" s="162"/>
      <c r="M47" s="187"/>
      <c r="N47" s="187"/>
      <c r="O47" s="189"/>
      <c r="P47" s="191"/>
      <c r="Q47" s="167"/>
      <c r="R47" s="167"/>
      <c r="S47" s="167"/>
    </row>
    <row r="48">
      <c r="A48" s="187"/>
      <c r="B48" s="188"/>
      <c r="C48" s="187"/>
      <c r="D48" s="187"/>
      <c r="E48" s="188"/>
      <c r="F48" s="188"/>
      <c r="G48" s="187"/>
      <c r="H48" s="187"/>
      <c r="I48" s="187"/>
      <c r="J48" s="187"/>
      <c r="K48" s="162"/>
      <c r="L48" s="162"/>
      <c r="M48" s="187"/>
      <c r="N48" s="187"/>
      <c r="O48" s="189"/>
      <c r="P48" s="191"/>
      <c r="Q48" s="167"/>
      <c r="R48" s="167"/>
      <c r="S48" s="167"/>
    </row>
    <row r="49">
      <c r="A49" s="187"/>
      <c r="B49" s="188"/>
      <c r="C49" s="187"/>
      <c r="D49" s="187"/>
      <c r="E49" s="188"/>
      <c r="F49" s="188"/>
      <c r="G49" s="187"/>
      <c r="H49" s="187"/>
      <c r="I49" s="187"/>
      <c r="J49" s="187"/>
      <c r="K49" s="162"/>
      <c r="L49" s="162"/>
      <c r="M49" s="187"/>
      <c r="N49" s="187"/>
      <c r="O49" s="189"/>
      <c r="P49" s="191"/>
      <c r="Q49" s="167"/>
      <c r="R49" s="167"/>
      <c r="S49" s="167"/>
    </row>
    <row r="50">
      <c r="A50" s="187"/>
      <c r="B50" s="188"/>
      <c r="C50" s="187"/>
      <c r="D50" s="187"/>
      <c r="E50" s="188"/>
      <c r="F50" s="188"/>
      <c r="G50" s="187"/>
      <c r="H50" s="187"/>
      <c r="I50" s="187"/>
      <c r="J50" s="187"/>
      <c r="K50" s="162"/>
      <c r="L50" s="162"/>
      <c r="M50" s="187"/>
      <c r="N50" s="187"/>
      <c r="O50" s="192"/>
      <c r="P50" s="191"/>
      <c r="Q50" s="167"/>
      <c r="R50" s="167"/>
      <c r="S50" s="167"/>
    </row>
    <row r="51">
      <c r="A51" s="187"/>
      <c r="B51" s="188"/>
      <c r="C51" s="187"/>
      <c r="D51" s="187"/>
      <c r="E51" s="188"/>
      <c r="F51" s="188"/>
      <c r="G51" s="187"/>
      <c r="H51" s="187"/>
      <c r="I51" s="187"/>
      <c r="J51" s="187"/>
      <c r="K51" s="162"/>
      <c r="L51" s="162"/>
      <c r="M51" s="187"/>
      <c r="N51" s="187"/>
      <c r="O51" s="192"/>
      <c r="P51" s="191"/>
      <c r="Q51" s="167"/>
      <c r="R51" s="167"/>
      <c r="S51" s="167"/>
    </row>
    <row r="52">
      <c r="A52" s="187"/>
      <c r="B52" s="188"/>
      <c r="C52" s="187"/>
      <c r="D52" s="187"/>
      <c r="E52" s="188"/>
      <c r="F52" s="188"/>
      <c r="G52" s="187"/>
      <c r="H52" s="187"/>
      <c r="I52" s="187"/>
      <c r="J52" s="187"/>
      <c r="K52" s="162"/>
      <c r="L52" s="162"/>
      <c r="M52" s="187"/>
      <c r="N52" s="187"/>
      <c r="O52" s="192"/>
      <c r="P52" s="191"/>
      <c r="Q52" s="167"/>
      <c r="R52" s="167"/>
      <c r="S52" s="167"/>
    </row>
    <row r="53">
      <c r="A53" s="187"/>
      <c r="B53" s="188"/>
      <c r="C53" s="187"/>
      <c r="D53" s="187"/>
      <c r="E53" s="188"/>
      <c r="F53" s="188"/>
      <c r="G53" s="187"/>
      <c r="H53" s="187"/>
      <c r="I53" s="187"/>
      <c r="J53" s="187"/>
      <c r="K53" s="162"/>
      <c r="L53" s="162"/>
      <c r="M53" s="187"/>
      <c r="N53" s="187"/>
      <c r="O53" s="192"/>
      <c r="P53" s="191"/>
      <c r="Q53" s="167"/>
      <c r="R53" s="167"/>
      <c r="S53" s="167"/>
    </row>
    <row r="54">
      <c r="A54" s="187"/>
      <c r="B54" s="188"/>
      <c r="C54" s="187"/>
      <c r="D54" s="187"/>
      <c r="E54" s="188"/>
      <c r="F54" s="188"/>
      <c r="G54" s="187"/>
      <c r="H54" s="187"/>
      <c r="I54" s="187"/>
      <c r="J54" s="187"/>
      <c r="K54" s="162"/>
      <c r="L54" s="162"/>
      <c r="M54" s="187"/>
      <c r="N54" s="187"/>
      <c r="O54" s="192"/>
      <c r="P54" s="191"/>
      <c r="Q54" s="167"/>
      <c r="R54" s="167"/>
      <c r="S54" s="167"/>
    </row>
    <row r="55">
      <c r="A55" s="187"/>
      <c r="B55" s="188"/>
      <c r="C55" s="187"/>
      <c r="D55" s="187"/>
      <c r="E55" s="188"/>
      <c r="F55" s="188"/>
      <c r="G55" s="187"/>
      <c r="H55" s="187"/>
      <c r="I55" s="187"/>
      <c r="J55" s="187"/>
      <c r="K55" s="162"/>
      <c r="L55" s="162"/>
      <c r="M55" s="187"/>
      <c r="N55" s="187"/>
      <c r="O55" s="192"/>
      <c r="P55" s="191"/>
      <c r="Q55" s="167"/>
      <c r="R55" s="167"/>
      <c r="S55" s="167"/>
    </row>
    <row r="56">
      <c r="A56" s="187"/>
      <c r="B56" s="188"/>
      <c r="C56" s="187"/>
      <c r="D56" s="187"/>
      <c r="E56" s="188"/>
      <c r="F56" s="188"/>
      <c r="G56" s="187"/>
      <c r="H56" s="187"/>
      <c r="I56" s="187"/>
      <c r="J56" s="187"/>
      <c r="K56" s="162"/>
      <c r="L56" s="162"/>
      <c r="M56" s="187"/>
      <c r="N56" s="187"/>
      <c r="O56" s="192"/>
      <c r="P56" s="191"/>
      <c r="Q56" s="167"/>
      <c r="R56" s="167"/>
      <c r="S56" s="167"/>
    </row>
    <row r="57">
      <c r="A57" s="187"/>
      <c r="B57" s="188"/>
      <c r="C57" s="187"/>
      <c r="D57" s="187"/>
      <c r="E57" s="188"/>
      <c r="F57" s="188"/>
      <c r="G57" s="187"/>
      <c r="H57" s="187"/>
      <c r="I57" s="187"/>
      <c r="J57" s="187"/>
      <c r="K57" s="162"/>
      <c r="L57" s="162"/>
      <c r="M57" s="187"/>
      <c r="N57" s="187"/>
      <c r="O57" s="192"/>
      <c r="P57" s="191"/>
      <c r="Q57" s="167"/>
      <c r="R57" s="167"/>
      <c r="S57" s="167"/>
    </row>
    <row r="58">
      <c r="A58" s="187"/>
      <c r="B58" s="188"/>
      <c r="C58" s="187"/>
      <c r="D58" s="187"/>
      <c r="E58" s="188"/>
      <c r="F58" s="188"/>
      <c r="G58" s="187"/>
      <c r="H58" s="187"/>
      <c r="I58" s="187"/>
      <c r="J58" s="187"/>
      <c r="K58" s="162"/>
      <c r="L58" s="162"/>
      <c r="M58" s="187"/>
      <c r="N58" s="187"/>
      <c r="O58" s="192"/>
      <c r="P58" s="191"/>
      <c r="Q58" s="167"/>
      <c r="R58" s="167"/>
      <c r="S58" s="167"/>
    </row>
    <row r="59">
      <c r="A59" s="187"/>
      <c r="B59" s="188"/>
      <c r="C59" s="187"/>
      <c r="D59" s="187"/>
      <c r="E59" s="188"/>
      <c r="F59" s="188"/>
      <c r="G59" s="187"/>
      <c r="H59" s="187"/>
      <c r="I59" s="187"/>
      <c r="J59" s="187"/>
      <c r="K59" s="162"/>
      <c r="L59" s="162"/>
      <c r="M59" s="187"/>
      <c r="N59" s="187"/>
      <c r="O59" s="192"/>
      <c r="P59" s="191"/>
      <c r="Q59" s="167"/>
      <c r="R59" s="167"/>
      <c r="S59" s="167"/>
    </row>
    <row r="60">
      <c r="A60" s="187"/>
      <c r="B60" s="188"/>
      <c r="C60" s="187"/>
      <c r="D60" s="187"/>
      <c r="E60" s="188"/>
      <c r="F60" s="188"/>
      <c r="G60" s="187"/>
      <c r="H60" s="187"/>
      <c r="I60" s="187"/>
      <c r="J60" s="187"/>
      <c r="K60" s="162"/>
      <c r="L60" s="162"/>
      <c r="M60" s="187"/>
      <c r="N60" s="187"/>
      <c r="O60" s="192"/>
      <c r="P60" s="191"/>
      <c r="Q60" s="167"/>
      <c r="R60" s="167"/>
      <c r="S60" s="167"/>
    </row>
    <row r="61">
      <c r="A61" s="187"/>
      <c r="B61" s="188"/>
      <c r="C61" s="187"/>
      <c r="D61" s="187"/>
      <c r="E61" s="188"/>
      <c r="F61" s="188"/>
      <c r="G61" s="187"/>
      <c r="H61" s="187"/>
      <c r="I61" s="187"/>
      <c r="J61" s="187"/>
      <c r="K61" s="162"/>
      <c r="L61" s="162"/>
      <c r="M61" s="187"/>
      <c r="N61" s="187"/>
      <c r="O61" s="192"/>
      <c r="P61" s="191"/>
      <c r="Q61" s="167"/>
      <c r="R61" s="167"/>
      <c r="S61" s="167"/>
    </row>
    <row r="62">
      <c r="A62" s="187"/>
      <c r="B62" s="188"/>
      <c r="C62" s="187"/>
      <c r="D62" s="187"/>
      <c r="E62" s="188"/>
      <c r="F62" s="188"/>
      <c r="G62" s="187"/>
      <c r="H62" s="187"/>
      <c r="I62" s="187"/>
      <c r="J62" s="187"/>
      <c r="K62" s="162"/>
      <c r="L62" s="162"/>
      <c r="M62" s="187"/>
      <c r="N62" s="187"/>
      <c r="O62" s="192"/>
      <c r="P62" s="191"/>
      <c r="Q62" s="167"/>
      <c r="R62" s="167"/>
      <c r="S62" s="167"/>
    </row>
    <row r="63">
      <c r="A63" s="187"/>
      <c r="B63" s="188"/>
      <c r="C63" s="187"/>
      <c r="D63" s="187"/>
      <c r="E63" s="188"/>
      <c r="F63" s="188"/>
      <c r="G63" s="187"/>
      <c r="H63" s="187"/>
      <c r="I63" s="187"/>
      <c r="J63" s="187"/>
      <c r="K63" s="162"/>
      <c r="L63" s="162"/>
      <c r="M63" s="187"/>
      <c r="N63" s="187"/>
      <c r="O63" s="192"/>
      <c r="P63" s="191"/>
      <c r="Q63" s="167"/>
      <c r="R63" s="167"/>
      <c r="S63" s="167"/>
    </row>
    <row r="64">
      <c r="A64" s="187"/>
      <c r="B64" s="188"/>
      <c r="C64" s="187"/>
      <c r="D64" s="187"/>
      <c r="E64" s="188"/>
      <c r="F64" s="188"/>
      <c r="G64" s="187"/>
      <c r="H64" s="187"/>
      <c r="I64" s="187"/>
      <c r="J64" s="187"/>
      <c r="K64" s="162"/>
      <c r="L64" s="162"/>
      <c r="M64" s="187"/>
      <c r="N64" s="187"/>
      <c r="O64" s="192"/>
      <c r="P64" s="191"/>
      <c r="Q64" s="167"/>
      <c r="R64" s="167"/>
      <c r="S64" s="167"/>
    </row>
    <row r="65">
      <c r="A65" s="187"/>
      <c r="B65" s="188"/>
      <c r="C65" s="187"/>
      <c r="D65" s="187"/>
      <c r="E65" s="188"/>
      <c r="F65" s="188"/>
      <c r="G65" s="187"/>
      <c r="H65" s="187"/>
      <c r="I65" s="187"/>
      <c r="J65" s="187"/>
      <c r="K65" s="162"/>
      <c r="L65" s="162"/>
      <c r="M65" s="187"/>
      <c r="N65" s="187"/>
      <c r="O65" s="192"/>
      <c r="P65" s="191"/>
      <c r="Q65" s="167"/>
      <c r="R65" s="167"/>
      <c r="S65" s="167"/>
    </row>
    <row r="66">
      <c r="A66" s="187"/>
      <c r="B66" s="188"/>
      <c r="C66" s="187"/>
      <c r="D66" s="187"/>
      <c r="E66" s="188"/>
      <c r="F66" s="188"/>
      <c r="G66" s="187"/>
      <c r="H66" s="187"/>
      <c r="I66" s="187"/>
      <c r="J66" s="187"/>
      <c r="K66" s="162"/>
      <c r="L66" s="162"/>
      <c r="M66" s="187"/>
      <c r="N66" s="187"/>
      <c r="O66" s="192"/>
      <c r="P66" s="191"/>
      <c r="Q66" s="167"/>
      <c r="R66" s="167"/>
      <c r="S66" s="167"/>
    </row>
    <row r="67">
      <c r="A67" s="187"/>
      <c r="B67" s="188"/>
      <c r="C67" s="187"/>
      <c r="D67" s="187"/>
      <c r="E67" s="188"/>
      <c r="F67" s="188"/>
      <c r="G67" s="187"/>
      <c r="H67" s="187"/>
      <c r="I67" s="187"/>
      <c r="J67" s="187"/>
      <c r="K67" s="162"/>
      <c r="L67" s="162"/>
      <c r="M67" s="187"/>
      <c r="N67" s="187"/>
      <c r="O67" s="192"/>
      <c r="P67" s="191"/>
      <c r="Q67" s="167"/>
      <c r="R67" s="167"/>
      <c r="S67" s="167"/>
    </row>
    <row r="68">
      <c r="A68" s="187"/>
      <c r="B68" s="188"/>
      <c r="C68" s="187"/>
      <c r="D68" s="187"/>
      <c r="E68" s="188"/>
      <c r="F68" s="188"/>
      <c r="G68" s="187"/>
      <c r="H68" s="187"/>
      <c r="I68" s="187"/>
      <c r="J68" s="187"/>
      <c r="K68" s="162"/>
      <c r="L68" s="162"/>
      <c r="M68" s="187"/>
      <c r="N68" s="187"/>
      <c r="O68" s="192"/>
      <c r="P68" s="191"/>
      <c r="Q68" s="167"/>
      <c r="R68" s="167"/>
      <c r="S68" s="167"/>
    </row>
    <row r="69">
      <c r="A69" s="187"/>
      <c r="B69" s="188"/>
      <c r="C69" s="187"/>
      <c r="D69" s="187"/>
      <c r="E69" s="188"/>
      <c r="F69" s="188"/>
      <c r="G69" s="187"/>
      <c r="H69" s="187"/>
      <c r="I69" s="187"/>
      <c r="J69" s="187"/>
      <c r="K69" s="162"/>
      <c r="L69" s="162"/>
      <c r="M69" s="187"/>
      <c r="N69" s="187"/>
      <c r="O69" s="192"/>
      <c r="P69" s="191"/>
      <c r="Q69" s="167"/>
      <c r="R69" s="167"/>
      <c r="S69" s="167"/>
    </row>
    <row r="70">
      <c r="A70" s="187"/>
      <c r="B70" s="188"/>
      <c r="C70" s="187"/>
      <c r="D70" s="187"/>
      <c r="E70" s="188"/>
      <c r="F70" s="188"/>
      <c r="G70" s="187"/>
      <c r="H70" s="187"/>
      <c r="I70" s="187"/>
      <c r="J70" s="187"/>
      <c r="K70" s="162"/>
      <c r="L70" s="162"/>
      <c r="M70" s="187"/>
      <c r="N70" s="187"/>
      <c r="O70" s="192"/>
      <c r="P70" s="191"/>
      <c r="Q70" s="167"/>
      <c r="R70" s="167"/>
      <c r="S70" s="167"/>
    </row>
    <row r="71">
      <c r="A71" s="187"/>
      <c r="B71" s="188"/>
      <c r="C71" s="187"/>
      <c r="D71" s="187"/>
      <c r="E71" s="188"/>
      <c r="F71" s="188"/>
      <c r="G71" s="187"/>
      <c r="H71" s="187"/>
      <c r="I71" s="187"/>
      <c r="J71" s="187"/>
      <c r="K71" s="162"/>
      <c r="L71" s="162"/>
      <c r="M71" s="187"/>
      <c r="N71" s="187"/>
      <c r="O71" s="192"/>
      <c r="P71" s="191"/>
      <c r="Q71" s="167"/>
      <c r="R71" s="167"/>
      <c r="S71" s="167"/>
    </row>
    <row r="72">
      <c r="A72" s="187"/>
      <c r="B72" s="188"/>
      <c r="C72" s="187"/>
      <c r="D72" s="187"/>
      <c r="E72" s="188"/>
      <c r="F72" s="188"/>
      <c r="G72" s="187"/>
      <c r="H72" s="187"/>
      <c r="I72" s="187"/>
      <c r="J72" s="187"/>
      <c r="K72" s="162"/>
      <c r="L72" s="162"/>
      <c r="M72" s="187"/>
      <c r="N72" s="187"/>
      <c r="O72" s="192"/>
      <c r="P72" s="191"/>
      <c r="Q72" s="167"/>
      <c r="R72" s="167"/>
      <c r="S72" s="167"/>
    </row>
    <row r="73">
      <c r="A73" s="187"/>
      <c r="B73" s="188"/>
      <c r="C73" s="187"/>
      <c r="D73" s="187"/>
      <c r="E73" s="188"/>
      <c r="F73" s="188"/>
      <c r="G73" s="187"/>
      <c r="H73" s="187"/>
      <c r="I73" s="187"/>
      <c r="J73" s="187"/>
      <c r="K73" s="162"/>
      <c r="L73" s="162"/>
      <c r="M73" s="187"/>
      <c r="N73" s="187"/>
      <c r="O73" s="192"/>
      <c r="P73" s="191"/>
      <c r="Q73" s="167"/>
      <c r="R73" s="167"/>
      <c r="S73" s="167"/>
    </row>
    <row r="74">
      <c r="A74" s="187"/>
      <c r="B74" s="188"/>
      <c r="C74" s="187"/>
      <c r="D74" s="187"/>
      <c r="E74" s="188"/>
      <c r="F74" s="188"/>
      <c r="G74" s="187"/>
      <c r="H74" s="187"/>
      <c r="I74" s="187"/>
      <c r="J74" s="187"/>
      <c r="K74" s="162"/>
      <c r="L74" s="162"/>
      <c r="M74" s="187"/>
      <c r="N74" s="187"/>
      <c r="O74" s="192"/>
      <c r="P74" s="191"/>
      <c r="Q74" s="167"/>
      <c r="R74" s="167"/>
      <c r="S74" s="167"/>
    </row>
    <row r="75">
      <c r="A75" s="187"/>
      <c r="B75" s="188"/>
      <c r="C75" s="187"/>
      <c r="D75" s="187"/>
      <c r="E75" s="188"/>
      <c r="F75" s="188"/>
      <c r="G75" s="187"/>
      <c r="H75" s="187"/>
      <c r="I75" s="187"/>
      <c r="J75" s="187"/>
      <c r="K75" s="162"/>
      <c r="L75" s="162"/>
      <c r="M75" s="187"/>
      <c r="N75" s="187"/>
      <c r="O75" s="192"/>
      <c r="P75" s="191"/>
      <c r="Q75" s="167"/>
      <c r="R75" s="167"/>
      <c r="S75" s="167"/>
    </row>
    <row r="76">
      <c r="A76" s="187"/>
      <c r="B76" s="188"/>
      <c r="C76" s="187"/>
      <c r="D76" s="187"/>
      <c r="E76" s="188"/>
      <c r="F76" s="188"/>
      <c r="G76" s="187"/>
      <c r="H76" s="187"/>
      <c r="I76" s="187"/>
      <c r="J76" s="187"/>
      <c r="K76" s="162"/>
      <c r="L76" s="162"/>
      <c r="M76" s="187"/>
      <c r="N76" s="187"/>
      <c r="O76" s="192"/>
      <c r="P76" s="191"/>
      <c r="Q76" s="167"/>
      <c r="R76" s="167"/>
      <c r="S76" s="167"/>
    </row>
    <row r="77">
      <c r="A77" s="187"/>
      <c r="B77" s="188"/>
      <c r="C77" s="187"/>
      <c r="D77" s="187"/>
      <c r="E77" s="188"/>
      <c r="F77" s="188"/>
      <c r="G77" s="187"/>
      <c r="H77" s="187"/>
      <c r="I77" s="187"/>
      <c r="J77" s="187"/>
      <c r="K77" s="162"/>
      <c r="L77" s="162"/>
      <c r="M77" s="187"/>
      <c r="N77" s="187"/>
      <c r="O77" s="192"/>
      <c r="P77" s="191"/>
      <c r="Q77" s="167"/>
      <c r="R77" s="167"/>
      <c r="S77" s="167"/>
    </row>
    <row r="78">
      <c r="A78" s="187"/>
      <c r="B78" s="188"/>
      <c r="C78" s="187"/>
      <c r="D78" s="187"/>
      <c r="E78" s="188"/>
      <c r="F78" s="188"/>
      <c r="G78" s="187"/>
      <c r="H78" s="187"/>
      <c r="I78" s="187"/>
      <c r="J78" s="187"/>
      <c r="K78" s="162"/>
      <c r="L78" s="162"/>
      <c r="M78" s="187"/>
      <c r="N78" s="187"/>
      <c r="O78" s="192"/>
      <c r="P78" s="191"/>
      <c r="Q78" s="167"/>
      <c r="R78" s="167"/>
      <c r="S78" s="167"/>
    </row>
    <row r="79">
      <c r="A79" s="187"/>
      <c r="B79" s="188"/>
      <c r="C79" s="187"/>
      <c r="D79" s="187"/>
      <c r="E79" s="188"/>
      <c r="F79" s="188"/>
      <c r="G79" s="187"/>
      <c r="H79" s="187"/>
      <c r="I79" s="187"/>
      <c r="J79" s="187"/>
      <c r="K79" s="162"/>
      <c r="L79" s="162"/>
      <c r="M79" s="187"/>
      <c r="N79" s="187"/>
      <c r="O79" s="192"/>
      <c r="P79" s="191"/>
      <c r="Q79" s="167"/>
      <c r="R79" s="167"/>
      <c r="S79" s="167"/>
    </row>
    <row r="80">
      <c r="A80" s="187"/>
      <c r="B80" s="188"/>
      <c r="C80" s="187"/>
      <c r="D80" s="187"/>
      <c r="E80" s="188"/>
      <c r="F80" s="188"/>
      <c r="G80" s="187"/>
      <c r="H80" s="187"/>
      <c r="I80" s="187"/>
      <c r="J80" s="187"/>
      <c r="K80" s="162"/>
      <c r="L80" s="162"/>
      <c r="M80" s="187"/>
      <c r="N80" s="187"/>
      <c r="O80" s="192"/>
      <c r="P80" s="191"/>
      <c r="Q80" s="167"/>
      <c r="R80" s="167"/>
      <c r="S80" s="167"/>
    </row>
    <row r="81">
      <c r="A81" s="187"/>
      <c r="B81" s="188"/>
      <c r="C81" s="187"/>
      <c r="D81" s="187"/>
      <c r="E81" s="188"/>
      <c r="F81" s="188"/>
      <c r="G81" s="187"/>
      <c r="H81" s="187"/>
      <c r="I81" s="187"/>
      <c r="J81" s="187"/>
      <c r="K81" s="162"/>
      <c r="L81" s="162"/>
      <c r="M81" s="187"/>
      <c r="N81" s="187"/>
      <c r="O81" s="192"/>
      <c r="P81" s="191"/>
      <c r="Q81" s="167"/>
      <c r="R81" s="167"/>
      <c r="S81" s="167"/>
    </row>
    <row r="82">
      <c r="A82" s="187"/>
      <c r="B82" s="188"/>
      <c r="C82" s="187"/>
      <c r="D82" s="187"/>
      <c r="E82" s="188"/>
      <c r="F82" s="188"/>
      <c r="G82" s="187"/>
      <c r="H82" s="187"/>
      <c r="I82" s="187"/>
      <c r="J82" s="187"/>
      <c r="K82" s="162"/>
      <c r="L82" s="162"/>
      <c r="M82" s="187"/>
      <c r="N82" s="187"/>
      <c r="O82" s="192"/>
      <c r="P82" s="191"/>
      <c r="Q82" s="167"/>
      <c r="R82" s="167"/>
      <c r="S82" s="167"/>
    </row>
    <row r="83">
      <c r="A83" s="187"/>
      <c r="B83" s="188"/>
      <c r="C83" s="187"/>
      <c r="D83" s="187"/>
      <c r="E83" s="188"/>
      <c r="F83" s="188"/>
      <c r="G83" s="187"/>
      <c r="H83" s="187"/>
      <c r="I83" s="187"/>
      <c r="J83" s="187"/>
      <c r="K83" s="162"/>
      <c r="L83" s="162"/>
      <c r="M83" s="187"/>
      <c r="N83" s="187"/>
      <c r="O83" s="192"/>
      <c r="P83" s="191"/>
      <c r="Q83" s="167"/>
      <c r="R83" s="167"/>
      <c r="S83" s="167"/>
    </row>
    <row r="84">
      <c r="A84" s="187"/>
      <c r="B84" s="188"/>
      <c r="C84" s="187"/>
      <c r="D84" s="187"/>
      <c r="E84" s="188"/>
      <c r="F84" s="188"/>
      <c r="G84" s="187"/>
      <c r="H84" s="187"/>
      <c r="I84" s="187"/>
      <c r="J84" s="187"/>
      <c r="K84" s="162"/>
      <c r="L84" s="162"/>
      <c r="M84" s="187"/>
      <c r="N84" s="187"/>
      <c r="O84" s="192"/>
      <c r="P84" s="191"/>
      <c r="Q84" s="167"/>
      <c r="R84" s="167"/>
      <c r="S84" s="167"/>
    </row>
    <row r="85">
      <c r="A85" s="187"/>
      <c r="B85" s="188"/>
      <c r="C85" s="187"/>
      <c r="D85" s="187"/>
      <c r="E85" s="188"/>
      <c r="F85" s="188"/>
      <c r="G85" s="187"/>
      <c r="H85" s="187"/>
      <c r="I85" s="187"/>
      <c r="J85" s="187"/>
      <c r="K85" s="162"/>
      <c r="L85" s="162"/>
      <c r="M85" s="187"/>
      <c r="N85" s="187"/>
      <c r="O85" s="192"/>
      <c r="P85" s="191"/>
      <c r="Q85" s="167"/>
      <c r="R85" s="167"/>
      <c r="S85" s="167"/>
    </row>
    <row r="86">
      <c r="A86" s="187"/>
      <c r="B86" s="188"/>
      <c r="C86" s="187"/>
      <c r="D86" s="187"/>
      <c r="E86" s="188"/>
      <c r="F86" s="188"/>
      <c r="G86" s="187"/>
      <c r="H86" s="187"/>
      <c r="I86" s="187"/>
      <c r="J86" s="187"/>
      <c r="K86" s="162"/>
      <c r="L86" s="162"/>
      <c r="M86" s="187"/>
      <c r="N86" s="187"/>
      <c r="O86" s="192"/>
      <c r="P86" s="191"/>
      <c r="Q86" s="167"/>
      <c r="R86" s="167"/>
      <c r="S86" s="167"/>
    </row>
    <row r="87">
      <c r="A87" s="187"/>
      <c r="B87" s="188"/>
      <c r="C87" s="187"/>
      <c r="D87" s="187"/>
      <c r="E87" s="188"/>
      <c r="F87" s="188"/>
      <c r="G87" s="187"/>
      <c r="H87" s="187"/>
      <c r="I87" s="187"/>
      <c r="J87" s="187"/>
      <c r="K87" s="162"/>
      <c r="L87" s="162"/>
      <c r="M87" s="187"/>
      <c r="N87" s="187"/>
      <c r="O87" s="192"/>
      <c r="P87" s="191"/>
      <c r="Q87" s="167"/>
      <c r="R87" s="167"/>
      <c r="S87" s="167"/>
    </row>
    <row r="88">
      <c r="A88" s="187"/>
      <c r="B88" s="188"/>
      <c r="C88" s="187"/>
      <c r="D88" s="187"/>
      <c r="E88" s="188"/>
      <c r="F88" s="188"/>
      <c r="G88" s="187"/>
      <c r="H88" s="187"/>
      <c r="I88" s="187"/>
      <c r="J88" s="187"/>
      <c r="K88" s="162"/>
      <c r="L88" s="162"/>
      <c r="M88" s="187"/>
      <c r="N88" s="187"/>
      <c r="O88" s="192"/>
      <c r="P88" s="191"/>
      <c r="Q88" s="167"/>
      <c r="R88" s="167"/>
      <c r="S88" s="167"/>
    </row>
    <row r="89">
      <c r="A89" s="187"/>
      <c r="B89" s="188"/>
      <c r="C89" s="187"/>
      <c r="D89" s="187"/>
      <c r="E89" s="188"/>
      <c r="F89" s="188"/>
      <c r="G89" s="187"/>
      <c r="H89" s="187"/>
      <c r="I89" s="187"/>
      <c r="J89" s="187"/>
      <c r="K89" s="162"/>
      <c r="L89" s="162"/>
      <c r="M89" s="187"/>
      <c r="N89" s="187"/>
      <c r="O89" s="192"/>
      <c r="P89" s="191"/>
      <c r="Q89" s="167"/>
      <c r="R89" s="167"/>
      <c r="S89" s="167"/>
    </row>
    <row r="90">
      <c r="A90" s="187"/>
      <c r="B90" s="188"/>
      <c r="C90" s="187"/>
      <c r="D90" s="187"/>
      <c r="E90" s="188"/>
      <c r="F90" s="188"/>
      <c r="G90" s="187"/>
      <c r="H90" s="187"/>
      <c r="I90" s="187"/>
      <c r="J90" s="187"/>
      <c r="K90" s="162"/>
      <c r="L90" s="162"/>
      <c r="M90" s="187"/>
      <c r="N90" s="187"/>
      <c r="O90" s="192"/>
      <c r="P90" s="191"/>
      <c r="Q90" s="167"/>
      <c r="R90" s="167"/>
      <c r="S90" s="167"/>
    </row>
    <row r="91">
      <c r="A91" s="187"/>
      <c r="B91" s="188"/>
      <c r="C91" s="187"/>
      <c r="D91" s="187"/>
      <c r="E91" s="188"/>
      <c r="F91" s="188"/>
      <c r="G91" s="187"/>
      <c r="H91" s="187"/>
      <c r="I91" s="187"/>
      <c r="J91" s="187"/>
      <c r="K91" s="162"/>
      <c r="L91" s="162"/>
      <c r="M91" s="187"/>
      <c r="N91" s="187"/>
      <c r="O91" s="192"/>
      <c r="P91" s="190"/>
      <c r="Q91" s="167"/>
      <c r="R91" s="167"/>
      <c r="S91" s="167"/>
    </row>
    <row r="92">
      <c r="A92" s="187"/>
      <c r="B92" s="188"/>
      <c r="C92" s="187"/>
      <c r="D92" s="187"/>
      <c r="E92" s="188"/>
      <c r="F92" s="188"/>
      <c r="G92" s="187"/>
      <c r="H92" s="187"/>
      <c r="I92" s="187"/>
      <c r="J92" s="187"/>
      <c r="K92" s="162"/>
      <c r="L92" s="162"/>
      <c r="M92" s="187"/>
      <c r="N92" s="187"/>
      <c r="O92" s="192"/>
      <c r="P92" s="190"/>
      <c r="Q92" s="167"/>
      <c r="R92" s="167"/>
      <c r="S92" s="167"/>
    </row>
    <row r="93">
      <c r="A93" s="187"/>
      <c r="B93" s="188"/>
      <c r="C93" s="187"/>
      <c r="D93" s="187"/>
      <c r="E93" s="188"/>
      <c r="F93" s="188"/>
      <c r="G93" s="187"/>
      <c r="H93" s="187"/>
      <c r="I93" s="187"/>
      <c r="J93" s="187"/>
      <c r="K93" s="162"/>
      <c r="L93" s="162"/>
      <c r="M93" s="187"/>
      <c r="N93" s="187"/>
      <c r="O93" s="192"/>
      <c r="P93" s="190"/>
      <c r="Q93" s="167"/>
      <c r="R93" s="167"/>
      <c r="S93" s="167"/>
    </row>
    <row r="94">
      <c r="A94" s="187"/>
      <c r="B94" s="188"/>
      <c r="C94" s="187"/>
      <c r="D94" s="187"/>
      <c r="E94" s="188"/>
      <c r="F94" s="188"/>
      <c r="G94" s="187"/>
      <c r="H94" s="187"/>
      <c r="I94" s="187"/>
      <c r="J94" s="187"/>
      <c r="K94" s="162"/>
      <c r="L94" s="162"/>
      <c r="M94" s="187"/>
      <c r="N94" s="187"/>
      <c r="O94" s="189"/>
      <c r="P94" s="190"/>
      <c r="Q94" s="167"/>
      <c r="R94" s="167"/>
      <c r="S94" s="167"/>
    </row>
    <row r="95">
      <c r="A95" s="187"/>
      <c r="B95" s="188"/>
      <c r="C95" s="187"/>
      <c r="D95" s="187"/>
      <c r="E95" s="188"/>
      <c r="F95" s="188"/>
      <c r="G95" s="187"/>
      <c r="H95" s="187"/>
      <c r="I95" s="187"/>
      <c r="J95" s="187"/>
      <c r="K95" s="162"/>
      <c r="L95" s="162"/>
      <c r="M95" s="187"/>
      <c r="N95" s="187"/>
      <c r="O95" s="189"/>
      <c r="P95" s="190"/>
      <c r="Q95" s="167"/>
      <c r="R95" s="167"/>
      <c r="S95" s="167"/>
    </row>
    <row r="96">
      <c r="A96" s="187"/>
      <c r="B96" s="188"/>
      <c r="C96" s="187"/>
      <c r="D96" s="187"/>
      <c r="E96" s="188"/>
      <c r="F96" s="188"/>
      <c r="G96" s="187"/>
      <c r="H96" s="187"/>
      <c r="I96" s="187"/>
      <c r="J96" s="187"/>
      <c r="K96" s="162"/>
      <c r="L96" s="162"/>
      <c r="M96" s="187"/>
      <c r="N96" s="187"/>
      <c r="O96" s="189"/>
      <c r="P96" s="190"/>
      <c r="Q96" s="167"/>
      <c r="R96" s="167"/>
      <c r="S96" s="167"/>
    </row>
    <row r="97">
      <c r="A97" s="187"/>
      <c r="B97" s="188"/>
      <c r="C97" s="187"/>
      <c r="D97" s="187"/>
      <c r="E97" s="188"/>
      <c r="F97" s="188"/>
      <c r="G97" s="187"/>
      <c r="H97" s="187"/>
      <c r="I97" s="187"/>
      <c r="J97" s="187"/>
      <c r="K97" s="162"/>
      <c r="L97" s="162"/>
      <c r="M97" s="187"/>
      <c r="N97" s="187"/>
      <c r="O97" s="189"/>
      <c r="P97" s="190"/>
      <c r="Q97" s="167"/>
      <c r="R97" s="167"/>
      <c r="S97" s="167"/>
    </row>
    <row r="98">
      <c r="A98" s="187"/>
      <c r="B98" s="188"/>
      <c r="C98" s="187"/>
      <c r="D98" s="187"/>
      <c r="E98" s="188"/>
      <c r="F98" s="188"/>
      <c r="G98" s="187"/>
      <c r="H98" s="187"/>
      <c r="I98" s="187"/>
      <c r="J98" s="187"/>
      <c r="K98" s="162"/>
      <c r="L98" s="162"/>
      <c r="M98" s="187"/>
      <c r="N98" s="187"/>
      <c r="O98" s="189"/>
      <c r="P98" s="190"/>
      <c r="Q98" s="167"/>
      <c r="R98" s="167"/>
      <c r="S98" s="167"/>
    </row>
    <row r="99">
      <c r="A99" s="187"/>
      <c r="B99" s="188"/>
      <c r="C99" s="187"/>
      <c r="D99" s="187"/>
      <c r="E99" s="188"/>
      <c r="F99" s="188"/>
      <c r="G99" s="187"/>
      <c r="H99" s="187"/>
      <c r="I99" s="187"/>
      <c r="J99" s="187"/>
      <c r="K99" s="162"/>
      <c r="L99" s="162"/>
      <c r="M99" s="187"/>
      <c r="N99" s="187"/>
      <c r="O99" s="189"/>
      <c r="P99" s="190"/>
      <c r="Q99" s="167"/>
      <c r="R99" s="167"/>
      <c r="S99" s="167"/>
    </row>
    <row r="100">
      <c r="A100" s="187"/>
      <c r="B100" s="188"/>
      <c r="C100" s="187"/>
      <c r="D100" s="187"/>
      <c r="E100" s="188"/>
      <c r="F100" s="188"/>
      <c r="G100" s="187"/>
      <c r="H100" s="187"/>
      <c r="I100" s="187"/>
      <c r="J100" s="187"/>
      <c r="K100" s="162"/>
      <c r="L100" s="162"/>
      <c r="M100" s="187"/>
      <c r="N100" s="187"/>
      <c r="O100" s="189"/>
      <c r="P100" s="190"/>
      <c r="Q100" s="167"/>
      <c r="R100" s="167"/>
      <c r="S100" s="167"/>
    </row>
    <row r="101">
      <c r="A101" s="187"/>
      <c r="B101" s="188"/>
      <c r="C101" s="187"/>
      <c r="D101" s="187"/>
      <c r="E101" s="188"/>
      <c r="F101" s="188"/>
      <c r="G101" s="187"/>
      <c r="H101" s="187"/>
      <c r="I101" s="187"/>
      <c r="J101" s="187"/>
      <c r="K101" s="162"/>
      <c r="L101" s="162"/>
      <c r="M101" s="187"/>
      <c r="N101" s="187"/>
      <c r="O101" s="189"/>
      <c r="P101" s="190"/>
      <c r="Q101" s="167"/>
      <c r="R101" s="167"/>
      <c r="S101" s="167"/>
    </row>
    <row r="102">
      <c r="A102" s="187"/>
      <c r="B102" s="188"/>
      <c r="C102" s="187"/>
      <c r="D102" s="187"/>
      <c r="E102" s="188"/>
      <c r="F102" s="188"/>
      <c r="G102" s="187"/>
      <c r="H102" s="187"/>
      <c r="I102" s="187"/>
      <c r="J102" s="187"/>
      <c r="K102" s="162"/>
      <c r="L102" s="162"/>
      <c r="M102" s="187"/>
      <c r="N102" s="187"/>
      <c r="O102" s="189"/>
      <c r="P102" s="190"/>
      <c r="Q102" s="167"/>
      <c r="R102" s="167"/>
      <c r="S102" s="167"/>
    </row>
    <row r="103">
      <c r="A103" s="187"/>
      <c r="B103" s="188"/>
      <c r="C103" s="187"/>
      <c r="D103" s="187"/>
      <c r="E103" s="188"/>
      <c r="F103" s="188"/>
      <c r="G103" s="187"/>
      <c r="H103" s="187"/>
      <c r="I103" s="187"/>
      <c r="J103" s="187"/>
      <c r="K103" s="162"/>
      <c r="L103" s="162"/>
      <c r="M103" s="187"/>
      <c r="N103" s="187"/>
      <c r="O103" s="189"/>
      <c r="P103" s="190"/>
      <c r="Q103" s="167"/>
      <c r="R103" s="167"/>
      <c r="S103" s="167"/>
    </row>
    <row r="104">
      <c r="A104" s="187"/>
      <c r="B104" s="188"/>
      <c r="C104" s="187"/>
      <c r="D104" s="187"/>
      <c r="E104" s="188"/>
      <c r="F104" s="188"/>
      <c r="G104" s="187"/>
      <c r="H104" s="187"/>
      <c r="I104" s="187"/>
      <c r="J104" s="187"/>
      <c r="K104" s="162"/>
      <c r="L104" s="162"/>
      <c r="M104" s="187"/>
      <c r="N104" s="187"/>
      <c r="O104" s="189"/>
      <c r="P104" s="190"/>
      <c r="Q104" s="167"/>
      <c r="R104" s="167"/>
      <c r="S104" s="167"/>
    </row>
    <row r="105">
      <c r="A105" s="187"/>
      <c r="B105" s="188"/>
      <c r="C105" s="187"/>
      <c r="D105" s="187"/>
      <c r="E105" s="188"/>
      <c r="F105" s="188"/>
      <c r="G105" s="187"/>
      <c r="H105" s="187"/>
      <c r="I105" s="187"/>
      <c r="J105" s="187"/>
      <c r="K105" s="162"/>
      <c r="L105" s="162"/>
      <c r="M105" s="187"/>
      <c r="N105" s="187"/>
      <c r="O105" s="189"/>
      <c r="P105" s="190"/>
      <c r="Q105" s="167"/>
      <c r="R105" s="167"/>
      <c r="S105" s="167"/>
    </row>
    <row r="106">
      <c r="A106" s="187"/>
      <c r="B106" s="188"/>
      <c r="C106" s="187"/>
      <c r="D106" s="187"/>
      <c r="E106" s="188"/>
      <c r="F106" s="188"/>
      <c r="G106" s="187"/>
      <c r="H106" s="187"/>
      <c r="I106" s="187"/>
      <c r="J106" s="187"/>
      <c r="K106" s="162"/>
      <c r="L106" s="162"/>
      <c r="M106" s="187"/>
      <c r="N106" s="187"/>
      <c r="O106" s="189"/>
      <c r="P106" s="190"/>
      <c r="Q106" s="167"/>
      <c r="R106" s="167"/>
      <c r="S106" s="167"/>
    </row>
    <row r="107">
      <c r="A107" s="187"/>
      <c r="B107" s="188"/>
      <c r="C107" s="187"/>
      <c r="D107" s="187"/>
      <c r="E107" s="188"/>
      <c r="F107" s="188"/>
      <c r="G107" s="187"/>
      <c r="H107" s="187"/>
      <c r="I107" s="187"/>
      <c r="J107" s="187"/>
      <c r="K107" s="162"/>
      <c r="L107" s="162"/>
      <c r="M107" s="187"/>
      <c r="N107" s="187"/>
      <c r="O107" s="189"/>
      <c r="P107" s="190"/>
      <c r="Q107" s="167"/>
      <c r="R107" s="167"/>
      <c r="S107" s="167"/>
    </row>
    <row r="108">
      <c r="A108" s="187"/>
      <c r="B108" s="188"/>
      <c r="C108" s="187"/>
      <c r="D108" s="187"/>
      <c r="E108" s="188"/>
      <c r="F108" s="188"/>
      <c r="G108" s="187"/>
      <c r="H108" s="187"/>
      <c r="I108" s="187"/>
      <c r="J108" s="187"/>
      <c r="K108" s="162"/>
      <c r="L108" s="162"/>
      <c r="M108" s="187"/>
      <c r="N108" s="187"/>
      <c r="O108" s="189"/>
      <c r="P108" s="190"/>
      <c r="Q108" s="167"/>
      <c r="R108" s="167"/>
      <c r="S108" s="167"/>
    </row>
    <row r="109">
      <c r="A109" s="187"/>
      <c r="B109" s="188"/>
      <c r="C109" s="187"/>
      <c r="D109" s="187"/>
      <c r="E109" s="188"/>
      <c r="F109" s="188"/>
      <c r="G109" s="187"/>
      <c r="H109" s="187"/>
      <c r="I109" s="187"/>
      <c r="J109" s="187"/>
      <c r="K109" s="162"/>
      <c r="L109" s="162"/>
      <c r="M109" s="187"/>
      <c r="N109" s="187"/>
      <c r="O109" s="189"/>
      <c r="P109" s="190"/>
      <c r="Q109" s="167"/>
      <c r="R109" s="167"/>
      <c r="S109" s="167"/>
    </row>
    <row r="110">
      <c r="A110" s="187"/>
      <c r="B110" s="188"/>
      <c r="C110" s="187"/>
      <c r="D110" s="187"/>
      <c r="E110" s="188"/>
      <c r="F110" s="188"/>
      <c r="G110" s="187"/>
      <c r="H110" s="187"/>
      <c r="I110" s="187"/>
      <c r="J110" s="187"/>
      <c r="K110" s="162"/>
      <c r="L110" s="162"/>
      <c r="M110" s="187"/>
      <c r="N110" s="187"/>
      <c r="O110" s="189"/>
      <c r="P110" s="190"/>
      <c r="Q110" s="167"/>
      <c r="R110" s="167"/>
      <c r="S110" s="167"/>
    </row>
    <row r="111">
      <c r="A111" s="187"/>
      <c r="B111" s="188"/>
      <c r="C111" s="187"/>
      <c r="D111" s="187"/>
      <c r="E111" s="188"/>
      <c r="F111" s="188"/>
      <c r="G111" s="187"/>
      <c r="H111" s="187"/>
      <c r="I111" s="187"/>
      <c r="J111" s="187"/>
      <c r="K111" s="162"/>
      <c r="L111" s="162"/>
      <c r="M111" s="187"/>
      <c r="N111" s="187"/>
      <c r="O111" s="189"/>
      <c r="P111" s="190"/>
      <c r="Q111" s="167"/>
      <c r="R111" s="167"/>
      <c r="S111" s="167"/>
    </row>
    <row r="112">
      <c r="A112" s="187"/>
      <c r="B112" s="188"/>
      <c r="C112" s="187"/>
      <c r="D112" s="187"/>
      <c r="E112" s="188"/>
      <c r="F112" s="188"/>
      <c r="G112" s="187"/>
      <c r="H112" s="187"/>
      <c r="I112" s="187"/>
      <c r="J112" s="187"/>
      <c r="K112" s="162"/>
      <c r="L112" s="162"/>
      <c r="M112" s="187"/>
      <c r="N112" s="187"/>
      <c r="O112" s="189"/>
      <c r="P112" s="190"/>
      <c r="Q112" s="167"/>
      <c r="R112" s="167"/>
      <c r="S112" s="167"/>
    </row>
    <row r="113">
      <c r="A113" s="187"/>
      <c r="B113" s="188"/>
      <c r="C113" s="187"/>
      <c r="D113" s="187"/>
      <c r="E113" s="188"/>
      <c r="F113" s="188"/>
      <c r="G113" s="187"/>
      <c r="H113" s="187"/>
      <c r="I113" s="187"/>
      <c r="J113" s="187"/>
      <c r="K113" s="162"/>
      <c r="L113" s="162"/>
      <c r="M113" s="187"/>
      <c r="N113" s="187"/>
      <c r="O113" s="189"/>
      <c r="P113" s="190"/>
      <c r="Q113" s="167"/>
      <c r="R113" s="167"/>
      <c r="S113" s="167"/>
    </row>
    <row r="114">
      <c r="A114" s="187"/>
      <c r="B114" s="188"/>
      <c r="C114" s="187"/>
      <c r="D114" s="187"/>
      <c r="E114" s="188"/>
      <c r="F114" s="188"/>
      <c r="G114" s="187"/>
      <c r="H114" s="187"/>
      <c r="I114" s="187"/>
      <c r="J114" s="187"/>
      <c r="K114" s="162"/>
      <c r="L114" s="162"/>
      <c r="M114" s="187"/>
      <c r="N114" s="187"/>
      <c r="O114" s="189"/>
      <c r="P114" s="190"/>
      <c r="Q114" s="167"/>
      <c r="R114" s="167"/>
      <c r="S114" s="167"/>
    </row>
    <row r="115">
      <c r="A115" s="187"/>
      <c r="B115" s="188"/>
      <c r="C115" s="187"/>
      <c r="D115" s="187"/>
      <c r="E115" s="188"/>
      <c r="F115" s="188"/>
      <c r="G115" s="187"/>
      <c r="H115" s="187"/>
      <c r="I115" s="187"/>
      <c r="J115" s="187"/>
      <c r="K115" s="162"/>
      <c r="L115" s="162"/>
      <c r="M115" s="187"/>
      <c r="N115" s="187"/>
      <c r="O115" s="189"/>
      <c r="P115" s="190"/>
      <c r="Q115" s="167"/>
      <c r="R115" s="167"/>
      <c r="S115" s="167"/>
    </row>
    <row r="116">
      <c r="A116" s="187"/>
      <c r="B116" s="188"/>
      <c r="C116" s="187"/>
      <c r="D116" s="187"/>
      <c r="E116" s="188"/>
      <c r="F116" s="188"/>
      <c r="G116" s="187"/>
      <c r="H116" s="187"/>
      <c r="I116" s="187"/>
      <c r="J116" s="187"/>
      <c r="K116" s="162"/>
      <c r="L116" s="162"/>
      <c r="M116" s="187"/>
      <c r="N116" s="187"/>
      <c r="O116" s="189"/>
      <c r="P116" s="190"/>
      <c r="Q116" s="167"/>
      <c r="R116" s="167"/>
      <c r="S116" s="167"/>
    </row>
    <row r="117">
      <c r="A117" s="187"/>
      <c r="B117" s="188"/>
      <c r="C117" s="187"/>
      <c r="D117" s="187"/>
      <c r="E117" s="188"/>
      <c r="F117" s="188"/>
      <c r="G117" s="187"/>
      <c r="H117" s="187"/>
      <c r="I117" s="187"/>
      <c r="J117" s="187"/>
      <c r="K117" s="162"/>
      <c r="L117" s="162"/>
      <c r="M117" s="187"/>
      <c r="N117" s="187"/>
      <c r="O117" s="189"/>
      <c r="P117" s="190"/>
      <c r="Q117" s="167"/>
      <c r="R117" s="167"/>
      <c r="S117" s="167"/>
    </row>
    <row r="118">
      <c r="A118" s="187"/>
      <c r="B118" s="188"/>
      <c r="C118" s="187"/>
      <c r="D118" s="187"/>
      <c r="E118" s="188"/>
      <c r="F118" s="188"/>
      <c r="G118" s="187"/>
      <c r="H118" s="187"/>
      <c r="I118" s="187"/>
      <c r="J118" s="187"/>
      <c r="K118" s="162"/>
      <c r="L118" s="162"/>
      <c r="M118" s="187"/>
      <c r="N118" s="187"/>
      <c r="O118" s="189"/>
      <c r="P118" s="190"/>
      <c r="Q118" s="167"/>
      <c r="R118" s="167"/>
      <c r="S118" s="167"/>
    </row>
    <row r="119">
      <c r="A119" s="187"/>
      <c r="B119" s="188"/>
      <c r="C119" s="187"/>
      <c r="D119" s="187"/>
      <c r="E119" s="188"/>
      <c r="F119" s="188"/>
      <c r="G119" s="187"/>
      <c r="H119" s="187"/>
      <c r="I119" s="187"/>
      <c r="J119" s="187"/>
      <c r="K119" s="162"/>
      <c r="L119" s="162"/>
      <c r="M119" s="187"/>
      <c r="N119" s="187"/>
      <c r="O119" s="189"/>
      <c r="P119" s="190"/>
      <c r="Q119" s="167"/>
      <c r="R119" s="167"/>
      <c r="S119" s="167"/>
    </row>
    <row r="120">
      <c r="A120" s="187"/>
      <c r="B120" s="188"/>
      <c r="C120" s="187"/>
      <c r="D120" s="187"/>
      <c r="E120" s="188"/>
      <c r="F120" s="188"/>
      <c r="G120" s="187"/>
      <c r="H120" s="187"/>
      <c r="I120" s="187"/>
      <c r="J120" s="187"/>
      <c r="K120" s="162"/>
      <c r="L120" s="162"/>
      <c r="M120" s="187"/>
      <c r="N120" s="187"/>
      <c r="O120" s="189"/>
      <c r="P120" s="190"/>
      <c r="Q120" s="167"/>
      <c r="R120" s="167"/>
      <c r="S120" s="167"/>
    </row>
    <row r="121">
      <c r="A121" s="187"/>
      <c r="B121" s="188"/>
      <c r="C121" s="187"/>
      <c r="D121" s="187"/>
      <c r="E121" s="188"/>
      <c r="F121" s="188"/>
      <c r="G121" s="187"/>
      <c r="H121" s="187"/>
      <c r="I121" s="187"/>
      <c r="J121" s="187"/>
      <c r="K121" s="162"/>
      <c r="L121" s="162"/>
      <c r="M121" s="187"/>
      <c r="N121" s="187"/>
      <c r="O121" s="189"/>
      <c r="P121" s="190"/>
      <c r="Q121" s="167"/>
      <c r="R121" s="167"/>
      <c r="S121" s="167"/>
    </row>
    <row r="122">
      <c r="A122" s="187"/>
      <c r="B122" s="188"/>
      <c r="C122" s="187"/>
      <c r="D122" s="187"/>
      <c r="E122" s="188"/>
      <c r="F122" s="188"/>
      <c r="G122" s="187"/>
      <c r="H122" s="187"/>
      <c r="I122" s="187"/>
      <c r="J122" s="187"/>
      <c r="K122" s="162"/>
      <c r="L122" s="162"/>
      <c r="M122" s="187"/>
      <c r="N122" s="187"/>
      <c r="O122" s="189"/>
      <c r="P122" s="190"/>
      <c r="Q122" s="167"/>
      <c r="R122" s="167"/>
      <c r="S122" s="167"/>
    </row>
    <row r="123">
      <c r="A123" s="187"/>
      <c r="B123" s="188"/>
      <c r="C123" s="187"/>
      <c r="D123" s="187"/>
      <c r="E123" s="188"/>
      <c r="F123" s="188"/>
      <c r="G123" s="187"/>
      <c r="H123" s="187"/>
      <c r="I123" s="187"/>
      <c r="J123" s="187"/>
      <c r="K123" s="162"/>
      <c r="L123" s="162"/>
      <c r="M123" s="187"/>
      <c r="N123" s="187"/>
      <c r="O123" s="189"/>
      <c r="P123" s="190"/>
      <c r="Q123" s="167"/>
      <c r="R123" s="167"/>
      <c r="S123" s="167"/>
    </row>
    <row r="124">
      <c r="A124" s="187"/>
      <c r="B124" s="188"/>
      <c r="C124" s="187"/>
      <c r="D124" s="187"/>
      <c r="E124" s="188"/>
      <c r="F124" s="188"/>
      <c r="G124" s="187"/>
      <c r="H124" s="187"/>
      <c r="I124" s="187"/>
      <c r="J124" s="187"/>
      <c r="K124" s="162"/>
      <c r="L124" s="162"/>
      <c r="M124" s="187"/>
      <c r="N124" s="187"/>
      <c r="O124" s="189"/>
      <c r="P124" s="190"/>
      <c r="Q124" s="167"/>
      <c r="R124" s="167"/>
      <c r="S124" s="167"/>
    </row>
    <row r="125">
      <c r="A125" s="187"/>
      <c r="B125" s="188"/>
      <c r="C125" s="187"/>
      <c r="D125" s="187"/>
      <c r="E125" s="188"/>
      <c r="F125" s="188"/>
      <c r="G125" s="187"/>
      <c r="H125" s="187"/>
      <c r="I125" s="187"/>
      <c r="J125" s="187"/>
      <c r="K125" s="162"/>
      <c r="L125" s="162"/>
      <c r="M125" s="187"/>
      <c r="N125" s="187"/>
      <c r="O125" s="189"/>
      <c r="P125" s="190"/>
      <c r="Q125" s="167"/>
      <c r="R125" s="167"/>
      <c r="S125" s="167"/>
    </row>
    <row r="126">
      <c r="A126" s="187"/>
      <c r="B126" s="188"/>
      <c r="C126" s="187"/>
      <c r="D126" s="187"/>
      <c r="E126" s="188"/>
      <c r="F126" s="188"/>
      <c r="G126" s="187"/>
      <c r="H126" s="187"/>
      <c r="I126" s="187"/>
      <c r="J126" s="187"/>
      <c r="K126" s="162"/>
      <c r="L126" s="162"/>
      <c r="M126" s="187"/>
      <c r="N126" s="187"/>
      <c r="O126" s="189"/>
      <c r="P126" s="190"/>
      <c r="Q126" s="167"/>
      <c r="R126" s="167"/>
      <c r="S126" s="167"/>
    </row>
    <row r="127">
      <c r="A127" s="187"/>
      <c r="B127" s="188"/>
      <c r="C127" s="187"/>
      <c r="D127" s="187"/>
      <c r="E127" s="188"/>
      <c r="F127" s="188"/>
      <c r="G127" s="187"/>
      <c r="H127" s="187"/>
      <c r="I127" s="187"/>
      <c r="J127" s="187"/>
      <c r="K127" s="162"/>
      <c r="L127" s="162"/>
      <c r="M127" s="187"/>
      <c r="N127" s="187"/>
      <c r="O127" s="189"/>
      <c r="P127" s="190"/>
      <c r="Q127" s="167"/>
      <c r="R127" s="167"/>
      <c r="S127" s="167"/>
    </row>
    <row r="128">
      <c r="A128" s="187"/>
      <c r="B128" s="188"/>
      <c r="C128" s="187"/>
      <c r="D128" s="187"/>
      <c r="E128" s="188"/>
      <c r="F128" s="188"/>
      <c r="G128" s="187"/>
      <c r="H128" s="187"/>
      <c r="I128" s="187"/>
      <c r="J128" s="187"/>
      <c r="K128" s="162"/>
      <c r="L128" s="162"/>
      <c r="M128" s="187"/>
      <c r="N128" s="187"/>
      <c r="O128" s="189"/>
      <c r="P128" s="190"/>
      <c r="Q128" s="167"/>
      <c r="R128" s="167"/>
      <c r="S128" s="167"/>
    </row>
    <row r="129">
      <c r="A129" s="187"/>
      <c r="B129" s="188"/>
      <c r="C129" s="187"/>
      <c r="D129" s="187"/>
      <c r="E129" s="188"/>
      <c r="F129" s="188"/>
      <c r="G129" s="187"/>
      <c r="H129" s="187"/>
      <c r="I129" s="187"/>
      <c r="J129" s="187"/>
      <c r="K129" s="162"/>
      <c r="L129" s="162"/>
      <c r="M129" s="187"/>
      <c r="N129" s="187"/>
      <c r="O129" s="189"/>
      <c r="P129" s="190"/>
      <c r="Q129" s="167"/>
      <c r="R129" s="167"/>
      <c r="S129" s="167"/>
    </row>
    <row r="130">
      <c r="A130" s="187"/>
      <c r="B130" s="188"/>
      <c r="C130" s="187"/>
      <c r="D130" s="187"/>
      <c r="E130" s="188"/>
      <c r="F130" s="188"/>
      <c r="G130" s="187"/>
      <c r="H130" s="187"/>
      <c r="I130" s="187"/>
      <c r="J130" s="187"/>
      <c r="K130" s="162"/>
      <c r="L130" s="162"/>
      <c r="M130" s="187"/>
      <c r="N130" s="187"/>
      <c r="O130" s="189"/>
      <c r="P130" s="190"/>
      <c r="Q130" s="167"/>
      <c r="R130" s="167"/>
      <c r="S130" s="167"/>
    </row>
    <row r="131">
      <c r="A131" s="187"/>
      <c r="B131" s="188"/>
      <c r="C131" s="187"/>
      <c r="D131" s="187"/>
      <c r="E131" s="188"/>
      <c r="F131" s="188"/>
      <c r="G131" s="187"/>
      <c r="H131" s="187"/>
      <c r="I131" s="187"/>
      <c r="J131" s="187"/>
      <c r="K131" s="162"/>
      <c r="L131" s="162"/>
      <c r="M131" s="187"/>
      <c r="N131" s="187"/>
      <c r="O131" s="189"/>
      <c r="P131" s="190"/>
      <c r="Q131" s="167"/>
      <c r="R131" s="167"/>
      <c r="S131" s="167"/>
    </row>
    <row r="132">
      <c r="A132" s="187"/>
      <c r="B132" s="188"/>
      <c r="C132" s="187"/>
      <c r="D132" s="187"/>
      <c r="E132" s="188"/>
      <c r="F132" s="188"/>
      <c r="G132" s="187"/>
      <c r="H132" s="187"/>
      <c r="I132" s="187"/>
      <c r="J132" s="187"/>
      <c r="K132" s="162"/>
      <c r="L132" s="162"/>
      <c r="M132" s="187"/>
      <c r="N132" s="187"/>
      <c r="O132" s="189"/>
      <c r="P132" s="190"/>
      <c r="Q132" s="167"/>
      <c r="R132" s="167"/>
      <c r="S132" s="167"/>
    </row>
    <row r="133">
      <c r="A133" s="187"/>
      <c r="B133" s="188"/>
      <c r="C133" s="187"/>
      <c r="D133" s="187"/>
      <c r="E133" s="188"/>
      <c r="F133" s="188"/>
      <c r="G133" s="187"/>
      <c r="H133" s="187"/>
      <c r="I133" s="187"/>
      <c r="J133" s="187"/>
      <c r="K133" s="162"/>
      <c r="L133" s="162"/>
      <c r="M133" s="187"/>
      <c r="N133" s="187"/>
      <c r="O133" s="189"/>
      <c r="P133" s="190"/>
      <c r="Q133" s="167"/>
      <c r="R133" s="167"/>
      <c r="S133" s="167"/>
    </row>
    <row r="134">
      <c r="A134" s="187"/>
      <c r="B134" s="188"/>
      <c r="C134" s="187"/>
      <c r="D134" s="187"/>
      <c r="E134" s="188"/>
      <c r="F134" s="188"/>
      <c r="G134" s="187"/>
      <c r="H134" s="187"/>
      <c r="I134" s="187"/>
      <c r="J134" s="187"/>
      <c r="K134" s="162"/>
      <c r="L134" s="162"/>
      <c r="M134" s="187"/>
      <c r="N134" s="187"/>
      <c r="O134" s="189"/>
      <c r="P134" s="190"/>
      <c r="Q134" s="167"/>
      <c r="R134" s="167"/>
      <c r="S134" s="167"/>
    </row>
    <row r="135">
      <c r="A135" s="187"/>
      <c r="B135" s="188"/>
      <c r="C135" s="187"/>
      <c r="D135" s="187"/>
      <c r="E135" s="188"/>
      <c r="F135" s="188"/>
      <c r="G135" s="187"/>
      <c r="H135" s="187"/>
      <c r="I135" s="187"/>
      <c r="J135" s="187"/>
      <c r="K135" s="162"/>
      <c r="L135" s="162"/>
      <c r="M135" s="187"/>
      <c r="N135" s="187"/>
      <c r="O135" s="189"/>
      <c r="P135" s="190"/>
      <c r="Q135" s="167"/>
      <c r="R135" s="167"/>
      <c r="S135" s="167"/>
    </row>
    <row r="136">
      <c r="A136" s="187"/>
      <c r="B136" s="188"/>
      <c r="C136" s="187"/>
      <c r="D136" s="187"/>
      <c r="E136" s="188"/>
      <c r="F136" s="188"/>
      <c r="G136" s="187"/>
      <c r="H136" s="187"/>
      <c r="I136" s="187"/>
      <c r="J136" s="187"/>
      <c r="K136" s="162"/>
      <c r="L136" s="162"/>
      <c r="M136" s="187"/>
      <c r="N136" s="187"/>
      <c r="O136" s="189"/>
      <c r="P136" s="190"/>
      <c r="Q136" s="167"/>
      <c r="R136" s="167"/>
      <c r="S136" s="167"/>
    </row>
    <row r="137">
      <c r="A137" s="187"/>
      <c r="B137" s="188"/>
      <c r="C137" s="187"/>
      <c r="D137" s="187"/>
      <c r="E137" s="188"/>
      <c r="F137" s="188"/>
      <c r="G137" s="187"/>
      <c r="H137" s="187"/>
      <c r="I137" s="187"/>
      <c r="J137" s="187"/>
      <c r="K137" s="162"/>
      <c r="L137" s="162"/>
      <c r="M137" s="187"/>
      <c r="N137" s="187"/>
      <c r="O137" s="189"/>
      <c r="P137" s="190"/>
      <c r="Q137" s="167"/>
      <c r="R137" s="167"/>
      <c r="S137" s="167"/>
    </row>
    <row r="138">
      <c r="A138" s="187"/>
      <c r="B138" s="188"/>
      <c r="C138" s="187"/>
      <c r="D138" s="187"/>
      <c r="E138" s="188"/>
      <c r="F138" s="188"/>
      <c r="G138" s="187"/>
      <c r="H138" s="187"/>
      <c r="I138" s="187"/>
      <c r="J138" s="187"/>
      <c r="K138" s="162"/>
      <c r="L138" s="162"/>
      <c r="M138" s="187"/>
      <c r="N138" s="187"/>
      <c r="O138" s="189"/>
      <c r="P138" s="190"/>
      <c r="Q138" s="167"/>
      <c r="R138" s="167"/>
      <c r="S138" s="167"/>
    </row>
    <row r="139">
      <c r="A139" s="187"/>
      <c r="B139" s="188"/>
      <c r="C139" s="187"/>
      <c r="D139" s="187"/>
      <c r="E139" s="188"/>
      <c r="F139" s="188"/>
      <c r="G139" s="187"/>
      <c r="H139" s="187"/>
      <c r="I139" s="187"/>
      <c r="J139" s="187"/>
      <c r="K139" s="162"/>
      <c r="L139" s="162"/>
      <c r="M139" s="187"/>
      <c r="N139" s="187"/>
      <c r="O139" s="189"/>
      <c r="P139" s="190"/>
      <c r="Q139" s="167"/>
      <c r="R139" s="167"/>
      <c r="S139" s="167"/>
    </row>
    <row r="140">
      <c r="A140" s="187"/>
      <c r="B140" s="188"/>
      <c r="C140" s="187"/>
      <c r="D140" s="187"/>
      <c r="E140" s="188"/>
      <c r="F140" s="188"/>
      <c r="G140" s="187"/>
      <c r="H140" s="187"/>
      <c r="I140" s="187"/>
      <c r="J140" s="187"/>
      <c r="K140" s="162"/>
      <c r="L140" s="162"/>
      <c r="M140" s="187"/>
      <c r="N140" s="187"/>
      <c r="O140" s="189"/>
      <c r="P140" s="190"/>
      <c r="Q140" s="167"/>
      <c r="R140" s="167"/>
      <c r="S140" s="167"/>
    </row>
    <row r="141">
      <c r="A141" s="187"/>
      <c r="B141" s="188"/>
      <c r="C141" s="187"/>
      <c r="D141" s="187"/>
      <c r="E141" s="188"/>
      <c r="F141" s="188"/>
      <c r="G141" s="187"/>
      <c r="H141" s="187"/>
      <c r="I141" s="187"/>
      <c r="J141" s="187"/>
      <c r="K141" s="162"/>
      <c r="L141" s="162"/>
      <c r="M141" s="187"/>
      <c r="N141" s="187"/>
      <c r="O141" s="189"/>
      <c r="P141" s="190"/>
      <c r="Q141" s="167"/>
      <c r="R141" s="167"/>
      <c r="S141" s="167"/>
    </row>
    <row r="142">
      <c r="A142" s="187"/>
      <c r="B142" s="188"/>
      <c r="C142" s="187"/>
      <c r="D142" s="187"/>
      <c r="E142" s="188"/>
      <c r="F142" s="188"/>
      <c r="G142" s="187"/>
      <c r="H142" s="187"/>
      <c r="I142" s="187"/>
      <c r="J142" s="187"/>
      <c r="K142" s="162"/>
      <c r="L142" s="162"/>
      <c r="M142" s="187"/>
      <c r="N142" s="187"/>
      <c r="O142" s="189"/>
      <c r="P142" s="190"/>
      <c r="Q142" s="167"/>
      <c r="R142" s="167"/>
      <c r="S142" s="167"/>
    </row>
    <row r="143">
      <c r="A143" s="187"/>
      <c r="B143" s="188"/>
      <c r="C143" s="187"/>
      <c r="D143" s="187"/>
      <c r="E143" s="188"/>
      <c r="F143" s="188"/>
      <c r="G143" s="187"/>
      <c r="H143" s="187"/>
      <c r="I143" s="187"/>
      <c r="J143" s="187"/>
      <c r="K143" s="162"/>
      <c r="L143" s="162"/>
      <c r="M143" s="187"/>
      <c r="N143" s="187"/>
      <c r="O143" s="189"/>
      <c r="P143" s="190"/>
      <c r="Q143" s="167"/>
      <c r="R143" s="167"/>
      <c r="S143" s="167"/>
    </row>
    <row r="144">
      <c r="A144" s="187"/>
      <c r="B144" s="188"/>
      <c r="C144" s="187"/>
      <c r="D144" s="187"/>
      <c r="E144" s="188"/>
      <c r="F144" s="188"/>
      <c r="G144" s="187"/>
      <c r="H144" s="187"/>
      <c r="I144" s="187"/>
      <c r="J144" s="187"/>
      <c r="K144" s="162"/>
      <c r="L144" s="162"/>
      <c r="M144" s="187"/>
      <c r="N144" s="187"/>
      <c r="O144" s="189"/>
      <c r="P144" s="190"/>
      <c r="Q144" s="167"/>
      <c r="R144" s="167"/>
      <c r="S144" s="167"/>
    </row>
    <row r="145">
      <c r="A145" s="187"/>
      <c r="B145" s="188"/>
      <c r="C145" s="187"/>
      <c r="D145" s="187"/>
      <c r="E145" s="188"/>
      <c r="F145" s="188"/>
      <c r="G145" s="187"/>
      <c r="H145" s="187"/>
      <c r="I145" s="187"/>
      <c r="J145" s="187"/>
      <c r="K145" s="162"/>
      <c r="L145" s="162"/>
      <c r="M145" s="187"/>
      <c r="N145" s="187"/>
      <c r="O145" s="189"/>
      <c r="P145" s="190"/>
      <c r="Q145" s="167"/>
      <c r="R145" s="167"/>
      <c r="S145" s="167"/>
    </row>
    <row r="146">
      <c r="A146" s="187"/>
      <c r="B146" s="188"/>
      <c r="C146" s="187"/>
      <c r="D146" s="187"/>
      <c r="E146" s="188"/>
      <c r="F146" s="188"/>
      <c r="G146" s="187"/>
      <c r="H146" s="187"/>
      <c r="I146" s="187"/>
      <c r="J146" s="187"/>
      <c r="K146" s="162"/>
      <c r="L146" s="162"/>
      <c r="M146" s="187"/>
      <c r="N146" s="187"/>
      <c r="O146" s="189"/>
      <c r="P146" s="190"/>
      <c r="Q146" s="167"/>
      <c r="R146" s="167"/>
      <c r="S146" s="167"/>
    </row>
    <row r="147">
      <c r="A147" s="187"/>
      <c r="B147" s="188"/>
      <c r="C147" s="187"/>
      <c r="D147" s="187"/>
      <c r="E147" s="188"/>
      <c r="F147" s="188"/>
      <c r="G147" s="187"/>
      <c r="H147" s="187"/>
      <c r="I147" s="187"/>
      <c r="J147" s="187"/>
      <c r="K147" s="162"/>
      <c r="L147" s="162"/>
      <c r="M147" s="187"/>
      <c r="N147" s="187"/>
      <c r="O147" s="189"/>
      <c r="P147" s="190"/>
      <c r="Q147" s="167"/>
      <c r="R147" s="167"/>
      <c r="S147" s="167"/>
    </row>
    <row r="148">
      <c r="A148" s="187"/>
      <c r="B148" s="188"/>
      <c r="C148" s="187"/>
      <c r="D148" s="187"/>
      <c r="E148" s="188"/>
      <c r="F148" s="188"/>
      <c r="G148" s="187"/>
      <c r="H148" s="187"/>
      <c r="I148" s="187"/>
      <c r="J148" s="187"/>
      <c r="K148" s="162"/>
      <c r="L148" s="162"/>
      <c r="M148" s="187"/>
      <c r="N148" s="187"/>
      <c r="O148" s="189"/>
      <c r="P148" s="190"/>
      <c r="Q148" s="167"/>
      <c r="R148" s="167"/>
      <c r="S148" s="167"/>
    </row>
    <row r="149">
      <c r="A149" s="187"/>
      <c r="B149" s="188"/>
      <c r="C149" s="187"/>
      <c r="D149" s="187"/>
      <c r="E149" s="188"/>
      <c r="F149" s="188"/>
      <c r="G149" s="187"/>
      <c r="H149" s="187"/>
      <c r="I149" s="187"/>
      <c r="J149" s="187"/>
      <c r="K149" s="162"/>
      <c r="L149" s="162"/>
      <c r="M149" s="187"/>
      <c r="N149" s="187"/>
      <c r="O149" s="189"/>
      <c r="P149" s="190"/>
      <c r="Q149" s="167"/>
      <c r="R149" s="167"/>
      <c r="S149" s="167"/>
    </row>
    <row r="150">
      <c r="A150" s="187"/>
      <c r="B150" s="188"/>
      <c r="C150" s="187"/>
      <c r="D150" s="187"/>
      <c r="E150" s="188"/>
      <c r="F150" s="188"/>
      <c r="G150" s="187"/>
      <c r="H150" s="187"/>
      <c r="I150" s="187"/>
      <c r="J150" s="187"/>
      <c r="K150" s="162"/>
      <c r="L150" s="162"/>
      <c r="M150" s="187"/>
      <c r="N150" s="187"/>
      <c r="O150" s="189"/>
      <c r="P150" s="190"/>
      <c r="Q150" s="167"/>
      <c r="R150" s="167"/>
      <c r="S150" s="167"/>
    </row>
    <row r="151">
      <c r="A151" s="187"/>
      <c r="B151" s="188"/>
      <c r="C151" s="187"/>
      <c r="D151" s="187"/>
      <c r="E151" s="188"/>
      <c r="F151" s="188"/>
      <c r="G151" s="187"/>
      <c r="H151" s="187"/>
      <c r="I151" s="187"/>
      <c r="J151" s="187"/>
      <c r="K151" s="162"/>
      <c r="L151" s="162"/>
      <c r="M151" s="187"/>
      <c r="N151" s="187"/>
      <c r="O151" s="189"/>
      <c r="P151" s="190"/>
      <c r="Q151" s="167"/>
      <c r="R151" s="167"/>
      <c r="S151" s="167"/>
    </row>
    <row r="152">
      <c r="A152" s="187"/>
      <c r="B152" s="188"/>
      <c r="C152" s="187"/>
      <c r="D152" s="187"/>
      <c r="E152" s="188"/>
      <c r="F152" s="188"/>
      <c r="G152" s="187"/>
      <c r="H152" s="187"/>
      <c r="I152" s="187"/>
      <c r="J152" s="187"/>
      <c r="K152" s="162"/>
      <c r="L152" s="162"/>
      <c r="M152" s="187"/>
      <c r="N152" s="187"/>
      <c r="O152" s="189"/>
      <c r="P152" s="190"/>
      <c r="Q152" s="167"/>
      <c r="R152" s="167"/>
      <c r="S152" s="167"/>
    </row>
    <row r="153">
      <c r="A153" s="187"/>
      <c r="B153" s="188"/>
      <c r="C153" s="187"/>
      <c r="D153" s="187"/>
      <c r="E153" s="188"/>
      <c r="F153" s="188"/>
      <c r="G153" s="187"/>
      <c r="H153" s="187"/>
      <c r="I153" s="187"/>
      <c r="J153" s="187"/>
      <c r="K153" s="162"/>
      <c r="L153" s="162"/>
      <c r="M153" s="187"/>
      <c r="N153" s="187"/>
      <c r="O153" s="189"/>
      <c r="P153" s="190"/>
      <c r="Q153" s="167"/>
      <c r="R153" s="167"/>
      <c r="S153" s="167"/>
    </row>
    <row r="154">
      <c r="A154" s="187"/>
      <c r="B154" s="188"/>
      <c r="C154" s="187"/>
      <c r="D154" s="187"/>
      <c r="E154" s="188"/>
      <c r="F154" s="188"/>
      <c r="G154" s="187"/>
      <c r="H154" s="187"/>
      <c r="I154" s="187"/>
      <c r="J154" s="187"/>
      <c r="K154" s="162"/>
      <c r="L154" s="162"/>
      <c r="M154" s="187"/>
      <c r="N154" s="187"/>
      <c r="O154" s="189"/>
      <c r="P154" s="190"/>
      <c r="Q154" s="167"/>
      <c r="R154" s="167"/>
      <c r="S154" s="167"/>
    </row>
    <row r="155">
      <c r="A155" s="187"/>
      <c r="B155" s="188"/>
      <c r="C155" s="187"/>
      <c r="D155" s="187"/>
      <c r="E155" s="188"/>
      <c r="F155" s="188"/>
      <c r="G155" s="187"/>
      <c r="H155" s="187"/>
      <c r="I155" s="187"/>
      <c r="J155" s="187"/>
      <c r="K155" s="162"/>
      <c r="L155" s="162"/>
      <c r="M155" s="187"/>
      <c r="N155" s="187"/>
      <c r="O155" s="189"/>
      <c r="P155" s="190"/>
      <c r="Q155" s="167"/>
      <c r="R155" s="167"/>
      <c r="S155" s="167"/>
    </row>
    <row r="156">
      <c r="A156" s="187"/>
      <c r="B156" s="188"/>
      <c r="C156" s="187"/>
      <c r="D156" s="187"/>
      <c r="E156" s="188"/>
      <c r="F156" s="188"/>
      <c r="G156" s="187"/>
      <c r="H156" s="187"/>
      <c r="I156" s="187"/>
      <c r="J156" s="187"/>
      <c r="K156" s="162"/>
      <c r="L156" s="162"/>
      <c r="M156" s="187"/>
      <c r="N156" s="187"/>
      <c r="O156" s="189"/>
      <c r="P156" s="190"/>
      <c r="Q156" s="167"/>
      <c r="R156" s="167"/>
      <c r="S156" s="167"/>
    </row>
    <row r="157">
      <c r="A157" s="187"/>
      <c r="B157" s="188"/>
      <c r="C157" s="187"/>
      <c r="D157" s="187"/>
      <c r="E157" s="188"/>
      <c r="F157" s="188"/>
      <c r="G157" s="187"/>
      <c r="H157" s="187"/>
      <c r="I157" s="187"/>
      <c r="J157" s="187"/>
      <c r="K157" s="162"/>
      <c r="L157" s="162"/>
      <c r="M157" s="187"/>
      <c r="N157" s="187"/>
      <c r="O157" s="189"/>
      <c r="P157" s="190"/>
      <c r="Q157" s="167"/>
      <c r="R157" s="167"/>
      <c r="S157" s="167"/>
    </row>
    <row r="158">
      <c r="A158" s="187"/>
      <c r="B158" s="188"/>
      <c r="C158" s="187"/>
      <c r="D158" s="187"/>
      <c r="E158" s="188"/>
      <c r="F158" s="188"/>
      <c r="G158" s="187"/>
      <c r="H158" s="187"/>
      <c r="I158" s="187"/>
      <c r="J158" s="187"/>
      <c r="K158" s="162"/>
      <c r="L158" s="162"/>
      <c r="M158" s="187"/>
      <c r="N158" s="187"/>
      <c r="O158" s="189"/>
      <c r="P158" s="190"/>
      <c r="Q158" s="167"/>
      <c r="R158" s="167"/>
      <c r="S158" s="167"/>
    </row>
    <row r="159">
      <c r="A159" s="187"/>
      <c r="B159" s="188"/>
      <c r="C159" s="187"/>
      <c r="D159" s="187"/>
      <c r="E159" s="188"/>
      <c r="F159" s="188"/>
      <c r="G159" s="187"/>
      <c r="H159" s="187"/>
      <c r="I159" s="187"/>
      <c r="J159" s="187"/>
      <c r="K159" s="162"/>
      <c r="L159" s="162"/>
      <c r="M159" s="187"/>
      <c r="N159" s="187"/>
      <c r="O159" s="189"/>
      <c r="P159" s="190"/>
      <c r="Q159" s="167"/>
      <c r="R159" s="167"/>
      <c r="S159" s="167"/>
    </row>
    <row r="160">
      <c r="A160" s="187"/>
      <c r="B160" s="188"/>
      <c r="C160" s="187"/>
      <c r="D160" s="187"/>
      <c r="E160" s="188"/>
      <c r="F160" s="188"/>
      <c r="G160" s="187"/>
      <c r="H160" s="187"/>
      <c r="I160" s="187"/>
      <c r="J160" s="187"/>
      <c r="K160" s="162"/>
      <c r="L160" s="162"/>
      <c r="M160" s="187"/>
      <c r="N160" s="187"/>
      <c r="O160" s="189"/>
      <c r="P160" s="190"/>
      <c r="Q160" s="167"/>
      <c r="R160" s="167"/>
      <c r="S160" s="167"/>
    </row>
    <row r="161">
      <c r="A161" s="187"/>
      <c r="B161" s="188"/>
      <c r="C161" s="187"/>
      <c r="D161" s="187"/>
      <c r="E161" s="188"/>
      <c r="F161" s="188"/>
      <c r="G161" s="187"/>
      <c r="H161" s="187"/>
      <c r="I161" s="187"/>
      <c r="J161" s="187"/>
      <c r="K161" s="162"/>
      <c r="L161" s="162"/>
      <c r="M161" s="187"/>
      <c r="N161" s="187"/>
      <c r="O161" s="189"/>
      <c r="P161" s="190"/>
      <c r="Q161" s="167"/>
      <c r="R161" s="167"/>
      <c r="S161" s="167"/>
    </row>
    <row r="162">
      <c r="A162" s="187"/>
      <c r="B162" s="188"/>
      <c r="C162" s="187"/>
      <c r="D162" s="187"/>
      <c r="E162" s="188"/>
      <c r="F162" s="188"/>
      <c r="G162" s="187"/>
      <c r="H162" s="187"/>
      <c r="I162" s="187"/>
      <c r="J162" s="187"/>
      <c r="K162" s="162"/>
      <c r="L162" s="162"/>
      <c r="M162" s="187"/>
      <c r="N162" s="187"/>
      <c r="O162" s="189"/>
      <c r="P162" s="190"/>
      <c r="Q162" s="167"/>
      <c r="R162" s="167"/>
      <c r="S162" s="167"/>
    </row>
    <row r="163">
      <c r="A163" s="187"/>
      <c r="B163" s="188"/>
      <c r="C163" s="187"/>
      <c r="D163" s="187"/>
      <c r="E163" s="188"/>
      <c r="F163" s="188"/>
      <c r="G163" s="187"/>
      <c r="H163" s="187"/>
      <c r="I163" s="187"/>
      <c r="J163" s="187"/>
      <c r="K163" s="162"/>
      <c r="L163" s="162"/>
      <c r="M163" s="187"/>
      <c r="N163" s="187"/>
      <c r="O163" s="189"/>
      <c r="P163" s="190"/>
      <c r="Q163" s="167"/>
      <c r="R163" s="167"/>
      <c r="S163" s="167"/>
    </row>
    <row r="164">
      <c r="A164" s="187"/>
      <c r="B164" s="188"/>
      <c r="C164" s="187"/>
      <c r="D164" s="187"/>
      <c r="E164" s="188"/>
      <c r="F164" s="188"/>
      <c r="G164" s="187"/>
      <c r="H164" s="187"/>
      <c r="I164" s="187"/>
      <c r="J164" s="187"/>
      <c r="K164" s="162"/>
      <c r="L164" s="162"/>
      <c r="M164" s="187"/>
      <c r="N164" s="187"/>
      <c r="O164" s="189"/>
      <c r="P164" s="191"/>
      <c r="Q164" s="167"/>
      <c r="R164" s="167"/>
      <c r="S164" s="167"/>
    </row>
    <row r="165">
      <c r="A165" s="187"/>
      <c r="B165" s="188"/>
      <c r="C165" s="187"/>
      <c r="D165" s="187"/>
      <c r="E165" s="188"/>
      <c r="F165" s="188"/>
      <c r="G165" s="187"/>
      <c r="H165" s="187"/>
      <c r="I165" s="187"/>
      <c r="J165" s="187"/>
      <c r="K165" s="162"/>
      <c r="L165" s="162"/>
      <c r="M165" s="187"/>
      <c r="N165" s="187"/>
      <c r="O165" s="189"/>
      <c r="P165" s="191"/>
      <c r="Q165" s="167"/>
      <c r="R165" s="167"/>
      <c r="S165" s="167"/>
    </row>
    <row r="166">
      <c r="A166" s="187"/>
      <c r="B166" s="188"/>
      <c r="C166" s="187"/>
      <c r="D166" s="187"/>
      <c r="E166" s="188"/>
      <c r="F166" s="188"/>
      <c r="G166" s="187"/>
      <c r="H166" s="187"/>
      <c r="I166" s="187"/>
      <c r="J166" s="187"/>
      <c r="K166" s="162"/>
      <c r="L166" s="162"/>
      <c r="M166" s="187"/>
      <c r="N166" s="187"/>
      <c r="O166" s="189"/>
      <c r="P166" s="191"/>
      <c r="Q166" s="167"/>
      <c r="R166" s="167"/>
      <c r="S166" s="167"/>
    </row>
    <row r="167">
      <c r="A167" s="187"/>
      <c r="B167" s="188"/>
      <c r="C167" s="187"/>
      <c r="D167" s="187"/>
      <c r="E167" s="188"/>
      <c r="F167" s="188"/>
      <c r="G167" s="187"/>
      <c r="H167" s="187"/>
      <c r="I167" s="187"/>
      <c r="J167" s="187"/>
      <c r="K167" s="162"/>
      <c r="L167" s="162"/>
      <c r="M167" s="187"/>
      <c r="N167" s="187"/>
      <c r="O167" s="192"/>
      <c r="P167" s="191"/>
      <c r="Q167" s="167"/>
      <c r="R167" s="167"/>
      <c r="S167" s="167"/>
    </row>
    <row r="168">
      <c r="A168" s="187"/>
      <c r="B168" s="188"/>
      <c r="C168" s="187"/>
      <c r="D168" s="187"/>
      <c r="E168" s="188"/>
      <c r="F168" s="188"/>
      <c r="G168" s="187"/>
      <c r="H168" s="187"/>
      <c r="I168" s="187"/>
      <c r="J168" s="187"/>
      <c r="K168" s="162"/>
      <c r="L168" s="162"/>
      <c r="M168" s="187"/>
      <c r="N168" s="187"/>
      <c r="O168" s="192"/>
      <c r="P168" s="191"/>
      <c r="Q168" s="167"/>
      <c r="R168" s="167"/>
      <c r="S168" s="167"/>
    </row>
    <row r="169">
      <c r="A169" s="187"/>
      <c r="B169" s="188"/>
      <c r="C169" s="187"/>
      <c r="D169" s="187"/>
      <c r="E169" s="188"/>
      <c r="F169" s="188"/>
      <c r="G169" s="187"/>
      <c r="H169" s="187"/>
      <c r="I169" s="187"/>
      <c r="J169" s="187"/>
      <c r="K169" s="162"/>
      <c r="L169" s="162"/>
      <c r="M169" s="187"/>
      <c r="N169" s="187"/>
      <c r="O169" s="192"/>
      <c r="P169" s="191"/>
      <c r="Q169" s="167"/>
      <c r="R169" s="167"/>
      <c r="S169" s="167"/>
    </row>
    <row r="170">
      <c r="A170" s="187"/>
      <c r="B170" s="188"/>
      <c r="C170" s="187"/>
      <c r="D170" s="187"/>
      <c r="E170" s="188"/>
      <c r="F170" s="188"/>
      <c r="G170" s="187"/>
      <c r="H170" s="187"/>
      <c r="I170" s="187"/>
      <c r="J170" s="187"/>
      <c r="K170" s="162"/>
      <c r="L170" s="162"/>
      <c r="M170" s="187"/>
      <c r="N170" s="187"/>
      <c r="O170" s="192"/>
      <c r="P170" s="190"/>
      <c r="Q170" s="167"/>
      <c r="R170" s="167"/>
      <c r="S170" s="167"/>
    </row>
    <row r="171">
      <c r="A171" s="187"/>
      <c r="B171" s="188"/>
      <c r="C171" s="187"/>
      <c r="D171" s="187"/>
      <c r="E171" s="188"/>
      <c r="F171" s="188"/>
      <c r="G171" s="187"/>
      <c r="H171" s="187"/>
      <c r="I171" s="187"/>
      <c r="J171" s="187"/>
      <c r="K171" s="162"/>
      <c r="L171" s="162"/>
      <c r="M171" s="187"/>
      <c r="N171" s="187"/>
      <c r="O171" s="192"/>
      <c r="P171" s="190"/>
      <c r="Q171" s="167"/>
      <c r="R171" s="167"/>
      <c r="S171" s="167"/>
    </row>
    <row r="172">
      <c r="A172" s="187"/>
      <c r="B172" s="188"/>
      <c r="C172" s="187"/>
      <c r="D172" s="187"/>
      <c r="E172" s="188"/>
      <c r="F172" s="188"/>
      <c r="G172" s="187"/>
      <c r="H172" s="187"/>
      <c r="I172" s="187"/>
      <c r="J172" s="187"/>
      <c r="K172" s="162"/>
      <c r="L172" s="162"/>
      <c r="M172" s="187"/>
      <c r="N172" s="187"/>
      <c r="O172" s="192"/>
      <c r="P172" s="199"/>
      <c r="Q172" s="167"/>
      <c r="R172" s="167"/>
      <c r="S172" s="167"/>
    </row>
    <row r="173">
      <c r="A173" s="187"/>
      <c r="B173" s="188"/>
      <c r="C173" s="187"/>
      <c r="D173" s="187"/>
      <c r="E173" s="188"/>
      <c r="F173" s="188"/>
      <c r="G173" s="187"/>
      <c r="H173" s="187"/>
      <c r="I173" s="187"/>
      <c r="J173" s="187"/>
      <c r="K173" s="162"/>
      <c r="L173" s="162"/>
      <c r="M173" s="187"/>
      <c r="N173" s="187"/>
      <c r="O173" s="189"/>
      <c r="P173" s="199"/>
      <c r="Q173" s="167"/>
      <c r="R173" s="167"/>
      <c r="S173" s="167"/>
    </row>
    <row r="174">
      <c r="A174" s="187"/>
      <c r="B174" s="188"/>
      <c r="C174" s="187"/>
      <c r="D174" s="187"/>
      <c r="E174" s="188"/>
      <c r="F174" s="188"/>
      <c r="G174" s="187"/>
      <c r="H174" s="187"/>
      <c r="I174" s="187"/>
      <c r="J174" s="187"/>
      <c r="K174" s="162"/>
      <c r="L174" s="162"/>
      <c r="M174" s="187"/>
      <c r="N174" s="187"/>
      <c r="O174" s="189"/>
      <c r="P174" s="199"/>
      <c r="Q174" s="167"/>
      <c r="R174" s="167"/>
      <c r="S174" s="167"/>
    </row>
    <row r="175">
      <c r="A175" s="187"/>
      <c r="B175" s="188"/>
      <c r="C175" s="187"/>
      <c r="D175" s="187"/>
      <c r="E175" s="188"/>
      <c r="F175" s="188"/>
      <c r="G175" s="187"/>
      <c r="H175" s="187"/>
      <c r="I175" s="187"/>
      <c r="J175" s="187"/>
      <c r="K175" s="162"/>
      <c r="L175" s="162"/>
      <c r="M175" s="187"/>
      <c r="N175" s="187"/>
      <c r="O175" s="200"/>
      <c r="P175" s="190"/>
      <c r="Q175" s="167"/>
      <c r="R175" s="167"/>
      <c r="S175" s="167"/>
    </row>
    <row r="176">
      <c r="A176" s="187"/>
      <c r="B176" s="188"/>
      <c r="C176" s="187"/>
      <c r="D176" s="187"/>
      <c r="E176" s="188"/>
      <c r="F176" s="188"/>
      <c r="G176" s="187"/>
      <c r="H176" s="187"/>
      <c r="I176" s="187"/>
      <c r="J176" s="187"/>
      <c r="K176" s="162"/>
      <c r="L176" s="162"/>
      <c r="M176" s="187"/>
      <c r="N176" s="187"/>
      <c r="O176" s="200"/>
      <c r="P176" s="190"/>
      <c r="Q176" s="167"/>
      <c r="R176" s="167"/>
      <c r="S176" s="167"/>
    </row>
    <row r="177">
      <c r="A177" s="187"/>
      <c r="B177" s="188"/>
      <c r="C177" s="187"/>
      <c r="D177" s="187"/>
      <c r="E177" s="188"/>
      <c r="F177" s="188"/>
      <c r="G177" s="187"/>
      <c r="H177" s="187"/>
      <c r="I177" s="187"/>
      <c r="J177" s="187"/>
      <c r="K177" s="162"/>
      <c r="L177" s="162"/>
      <c r="M177" s="187"/>
      <c r="N177" s="187"/>
      <c r="O177" s="200"/>
      <c r="P177" s="199"/>
      <c r="Q177" s="167"/>
      <c r="R177" s="167"/>
      <c r="S177" s="167"/>
    </row>
    <row r="178">
      <c r="A178" s="187"/>
      <c r="B178" s="188"/>
      <c r="C178" s="187"/>
      <c r="D178" s="187"/>
      <c r="E178" s="188"/>
      <c r="F178" s="188"/>
      <c r="G178" s="187"/>
      <c r="H178" s="187"/>
      <c r="I178" s="187"/>
      <c r="J178" s="187"/>
      <c r="K178" s="162"/>
      <c r="L178" s="162"/>
      <c r="M178" s="187"/>
      <c r="N178" s="187"/>
      <c r="O178" s="189"/>
      <c r="P178" s="190"/>
      <c r="Q178" s="167"/>
      <c r="R178" s="167"/>
      <c r="S178" s="167"/>
    </row>
    <row r="179">
      <c r="A179" s="187"/>
      <c r="B179" s="188"/>
      <c r="C179" s="187"/>
      <c r="D179" s="187"/>
      <c r="E179" s="188"/>
      <c r="F179" s="188"/>
      <c r="G179" s="187"/>
      <c r="H179" s="187"/>
      <c r="I179" s="187"/>
      <c r="J179" s="187"/>
      <c r="K179" s="162"/>
      <c r="L179" s="162"/>
      <c r="M179" s="187"/>
      <c r="N179" s="187"/>
      <c r="O179" s="189"/>
      <c r="P179" s="190"/>
      <c r="Q179" s="167"/>
      <c r="R179" s="167"/>
      <c r="S179" s="167"/>
    </row>
    <row r="180">
      <c r="A180" s="187"/>
      <c r="B180" s="188"/>
      <c r="C180" s="187"/>
      <c r="D180" s="187"/>
      <c r="E180" s="188"/>
      <c r="F180" s="188"/>
      <c r="G180" s="187"/>
      <c r="H180" s="187"/>
      <c r="I180" s="187"/>
      <c r="J180" s="187"/>
      <c r="K180" s="162"/>
      <c r="L180" s="162"/>
      <c r="M180" s="187"/>
      <c r="N180" s="187"/>
      <c r="O180" s="200"/>
      <c r="P180" s="199"/>
      <c r="Q180" s="167"/>
      <c r="R180" s="167"/>
      <c r="S180" s="167"/>
    </row>
    <row r="181">
      <c r="A181" s="187"/>
      <c r="B181" s="188"/>
      <c r="C181" s="187"/>
      <c r="D181" s="187"/>
      <c r="E181" s="188"/>
      <c r="F181" s="188"/>
      <c r="G181" s="187"/>
      <c r="H181" s="187"/>
      <c r="I181" s="187"/>
      <c r="J181" s="187"/>
      <c r="K181" s="162"/>
      <c r="L181" s="162"/>
      <c r="M181" s="187"/>
      <c r="N181" s="187"/>
      <c r="O181" s="189"/>
      <c r="P181" s="190"/>
      <c r="Q181" s="167"/>
      <c r="R181" s="167"/>
      <c r="S181" s="167"/>
    </row>
    <row r="182">
      <c r="A182" s="187"/>
      <c r="B182" s="188"/>
      <c r="C182" s="187"/>
      <c r="D182" s="187"/>
      <c r="E182" s="188"/>
      <c r="F182" s="188"/>
      <c r="G182" s="187"/>
      <c r="H182" s="187"/>
      <c r="I182" s="187"/>
      <c r="J182" s="187"/>
      <c r="K182" s="162"/>
      <c r="L182" s="162"/>
      <c r="M182" s="187"/>
      <c r="N182" s="187"/>
      <c r="O182" s="189"/>
      <c r="P182" s="190"/>
      <c r="Q182" s="167"/>
      <c r="R182" s="167"/>
      <c r="S182" s="167"/>
    </row>
    <row r="183">
      <c r="A183" s="187"/>
      <c r="B183" s="188"/>
      <c r="C183" s="187"/>
      <c r="D183" s="187"/>
      <c r="E183" s="188"/>
      <c r="F183" s="188"/>
      <c r="G183" s="187"/>
      <c r="H183" s="187"/>
      <c r="I183" s="187"/>
      <c r="J183" s="187"/>
      <c r="K183" s="162"/>
      <c r="L183" s="162"/>
      <c r="M183" s="187"/>
      <c r="N183" s="187"/>
      <c r="O183" s="200"/>
      <c r="P183" s="190"/>
      <c r="Q183" s="167"/>
      <c r="R183" s="167"/>
      <c r="S183" s="167"/>
    </row>
    <row r="184">
      <c r="A184" s="187"/>
      <c r="B184" s="188"/>
      <c r="C184" s="187"/>
      <c r="D184" s="187"/>
      <c r="E184" s="188"/>
      <c r="F184" s="188"/>
      <c r="G184" s="187"/>
      <c r="H184" s="187"/>
      <c r="I184" s="187"/>
      <c r="J184" s="187"/>
      <c r="K184" s="162"/>
      <c r="L184" s="162"/>
      <c r="M184" s="187"/>
      <c r="N184" s="187"/>
      <c r="O184" s="189"/>
      <c r="P184" s="190"/>
      <c r="Q184" s="167"/>
      <c r="R184" s="167"/>
      <c r="S184" s="167"/>
    </row>
    <row r="185">
      <c r="A185" s="187"/>
      <c r="B185" s="188"/>
      <c r="C185" s="187"/>
      <c r="D185" s="187"/>
      <c r="E185" s="188"/>
      <c r="F185" s="188"/>
      <c r="G185" s="187"/>
      <c r="H185" s="187"/>
      <c r="I185" s="187"/>
      <c r="J185" s="187"/>
      <c r="K185" s="162"/>
      <c r="L185" s="162"/>
      <c r="M185" s="187"/>
      <c r="N185" s="187"/>
      <c r="O185" s="189"/>
      <c r="P185" s="190"/>
      <c r="Q185" s="167"/>
      <c r="R185" s="167"/>
      <c r="S185" s="167"/>
    </row>
    <row r="186">
      <c r="A186" s="187"/>
      <c r="B186" s="188"/>
      <c r="C186" s="187"/>
      <c r="D186" s="187"/>
      <c r="E186" s="188"/>
      <c r="F186" s="188"/>
      <c r="G186" s="187"/>
      <c r="H186" s="187"/>
      <c r="I186" s="187"/>
      <c r="J186" s="187"/>
      <c r="K186" s="162"/>
      <c r="L186" s="162"/>
      <c r="M186" s="187"/>
      <c r="N186" s="187"/>
      <c r="O186" s="189"/>
      <c r="P186" s="190"/>
      <c r="Q186" s="167"/>
      <c r="R186" s="167"/>
      <c r="S186" s="167"/>
    </row>
    <row r="187">
      <c r="A187" s="187"/>
      <c r="B187" s="188"/>
      <c r="C187" s="187"/>
      <c r="D187" s="187"/>
      <c r="E187" s="188"/>
      <c r="F187" s="188"/>
      <c r="G187" s="187"/>
      <c r="H187" s="187"/>
      <c r="I187" s="187"/>
      <c r="J187" s="187"/>
      <c r="K187" s="162"/>
      <c r="L187" s="162"/>
      <c r="M187" s="187"/>
      <c r="N187" s="187"/>
      <c r="O187" s="189"/>
      <c r="P187" s="190"/>
      <c r="Q187" s="167"/>
      <c r="R187" s="167"/>
      <c r="S187" s="167"/>
    </row>
    <row r="188">
      <c r="A188" s="187"/>
      <c r="B188" s="188"/>
      <c r="C188" s="187"/>
      <c r="D188" s="187"/>
      <c r="E188" s="188"/>
      <c r="F188" s="188"/>
      <c r="G188" s="187"/>
      <c r="H188" s="187"/>
      <c r="I188" s="187"/>
      <c r="J188" s="187"/>
      <c r="K188" s="162"/>
      <c r="L188" s="162"/>
      <c r="M188" s="187"/>
      <c r="N188" s="187"/>
      <c r="O188" s="189"/>
      <c r="P188" s="190"/>
      <c r="Q188" s="167"/>
      <c r="R188" s="167"/>
      <c r="S188" s="167"/>
    </row>
    <row r="189">
      <c r="A189" s="187"/>
      <c r="B189" s="188"/>
      <c r="C189" s="187"/>
      <c r="D189" s="187"/>
      <c r="E189" s="188"/>
      <c r="F189" s="188"/>
      <c r="G189" s="187"/>
      <c r="H189" s="187"/>
      <c r="I189" s="187"/>
      <c r="J189" s="187"/>
      <c r="K189" s="162"/>
      <c r="L189" s="162"/>
      <c r="M189" s="187"/>
      <c r="N189" s="187"/>
      <c r="O189" s="189"/>
      <c r="P189" s="190"/>
      <c r="Q189" s="167"/>
      <c r="R189" s="167"/>
      <c r="S189" s="167"/>
    </row>
    <row r="190">
      <c r="A190" s="187"/>
      <c r="B190" s="188"/>
      <c r="C190" s="187"/>
      <c r="D190" s="187"/>
      <c r="E190" s="188"/>
      <c r="F190" s="188"/>
      <c r="G190" s="187"/>
      <c r="H190" s="187"/>
      <c r="I190" s="187"/>
      <c r="J190" s="187"/>
      <c r="K190" s="162"/>
      <c r="L190" s="162"/>
      <c r="M190" s="187"/>
      <c r="N190" s="187"/>
      <c r="O190" s="189"/>
      <c r="P190" s="190"/>
      <c r="Q190" s="167"/>
      <c r="R190" s="167"/>
      <c r="S190" s="167"/>
    </row>
    <row r="191">
      <c r="A191" s="187"/>
      <c r="B191" s="188"/>
      <c r="C191" s="187"/>
      <c r="D191" s="187"/>
      <c r="E191" s="188"/>
      <c r="F191" s="188"/>
      <c r="G191" s="187"/>
      <c r="H191" s="187"/>
      <c r="I191" s="187"/>
      <c r="J191" s="187"/>
      <c r="K191" s="162"/>
      <c r="L191" s="162"/>
      <c r="M191" s="187"/>
      <c r="N191" s="187"/>
      <c r="O191" s="189"/>
      <c r="P191" s="190"/>
      <c r="Q191" s="167"/>
      <c r="R191" s="167"/>
      <c r="S191" s="167"/>
    </row>
    <row r="192">
      <c r="A192" s="187"/>
      <c r="B192" s="188"/>
      <c r="C192" s="187"/>
      <c r="D192" s="187"/>
      <c r="E192" s="188"/>
      <c r="F192" s="188"/>
      <c r="G192" s="187"/>
      <c r="H192" s="187"/>
      <c r="I192" s="187"/>
      <c r="J192" s="187"/>
      <c r="K192" s="162"/>
      <c r="L192" s="162"/>
      <c r="M192" s="187"/>
      <c r="N192" s="187"/>
      <c r="O192" s="189"/>
      <c r="P192" s="190"/>
      <c r="Q192" s="167"/>
      <c r="R192" s="167"/>
      <c r="S192" s="167"/>
    </row>
    <row r="193">
      <c r="A193" s="187"/>
      <c r="B193" s="188"/>
      <c r="C193" s="187"/>
      <c r="D193" s="187"/>
      <c r="E193" s="188"/>
      <c r="F193" s="188"/>
      <c r="G193" s="187"/>
      <c r="H193" s="187"/>
      <c r="I193" s="187"/>
      <c r="J193" s="187"/>
      <c r="K193" s="162"/>
      <c r="L193" s="162"/>
      <c r="M193" s="187"/>
      <c r="N193" s="187"/>
      <c r="O193" s="189"/>
      <c r="P193" s="190"/>
      <c r="Q193" s="167"/>
      <c r="R193" s="167"/>
      <c r="S193" s="167"/>
    </row>
    <row r="194">
      <c r="A194" s="187"/>
      <c r="B194" s="188"/>
      <c r="C194" s="187"/>
      <c r="D194" s="187"/>
      <c r="E194" s="188"/>
      <c r="F194" s="188"/>
      <c r="G194" s="187"/>
      <c r="H194" s="187"/>
      <c r="I194" s="187"/>
      <c r="J194" s="187"/>
      <c r="K194" s="162"/>
      <c r="L194" s="162"/>
      <c r="M194" s="187"/>
      <c r="N194" s="187"/>
      <c r="O194" s="189"/>
      <c r="P194" s="190"/>
      <c r="Q194" s="167"/>
      <c r="R194" s="167"/>
      <c r="S194" s="167"/>
    </row>
    <row r="195">
      <c r="A195" s="187"/>
      <c r="B195" s="188"/>
      <c r="C195" s="187"/>
      <c r="D195" s="187"/>
      <c r="E195" s="188"/>
      <c r="F195" s="188"/>
      <c r="G195" s="187"/>
      <c r="H195" s="187"/>
      <c r="I195" s="187"/>
      <c r="J195" s="187"/>
      <c r="K195" s="162"/>
      <c r="L195" s="162"/>
      <c r="M195" s="187"/>
      <c r="N195" s="187"/>
      <c r="O195" s="189"/>
      <c r="P195" s="190"/>
      <c r="Q195" s="167"/>
      <c r="R195" s="167"/>
      <c r="S195" s="167"/>
    </row>
    <row r="196">
      <c r="A196" s="187"/>
      <c r="B196" s="188"/>
      <c r="C196" s="187"/>
      <c r="D196" s="187"/>
      <c r="E196" s="188"/>
      <c r="F196" s="188"/>
      <c r="G196" s="187"/>
      <c r="H196" s="187"/>
      <c r="I196" s="187"/>
      <c r="J196" s="187"/>
      <c r="K196" s="162"/>
      <c r="L196" s="162"/>
      <c r="M196" s="187"/>
      <c r="N196" s="187"/>
      <c r="O196" s="189"/>
      <c r="P196" s="190"/>
      <c r="Q196" s="167"/>
      <c r="R196" s="167"/>
      <c r="S196" s="167"/>
    </row>
    <row r="197">
      <c r="A197" s="187"/>
      <c r="B197" s="188"/>
      <c r="C197" s="187"/>
      <c r="D197" s="187"/>
      <c r="E197" s="188"/>
      <c r="F197" s="188"/>
      <c r="G197" s="187"/>
      <c r="H197" s="187"/>
      <c r="I197" s="187"/>
      <c r="J197" s="187"/>
      <c r="K197" s="162"/>
      <c r="L197" s="162"/>
      <c r="M197" s="187"/>
      <c r="N197" s="187"/>
      <c r="O197" s="189"/>
      <c r="P197" s="190"/>
      <c r="Q197" s="167"/>
      <c r="R197" s="167"/>
      <c r="S197" s="167"/>
    </row>
    <row r="198">
      <c r="A198" s="187"/>
      <c r="B198" s="188"/>
      <c r="C198" s="187"/>
      <c r="D198" s="187"/>
      <c r="E198" s="188"/>
      <c r="F198" s="188"/>
      <c r="G198" s="187"/>
      <c r="H198" s="187"/>
      <c r="I198" s="187"/>
      <c r="J198" s="187"/>
      <c r="K198" s="162"/>
      <c r="L198" s="162"/>
      <c r="M198" s="187"/>
      <c r="N198" s="187"/>
      <c r="O198" s="189"/>
      <c r="P198" s="190"/>
      <c r="Q198" s="167"/>
      <c r="R198" s="167"/>
      <c r="S198" s="167"/>
    </row>
    <row r="199">
      <c r="A199" s="187"/>
      <c r="B199" s="188"/>
      <c r="C199" s="187"/>
      <c r="D199" s="187"/>
      <c r="E199" s="188"/>
      <c r="F199" s="188"/>
      <c r="G199" s="187"/>
      <c r="H199" s="187"/>
      <c r="I199" s="187"/>
      <c r="J199" s="187"/>
      <c r="K199" s="162"/>
      <c r="L199" s="162"/>
      <c r="M199" s="187"/>
      <c r="N199" s="187"/>
      <c r="O199" s="189"/>
      <c r="P199" s="190"/>
      <c r="Q199" s="167"/>
      <c r="R199" s="167"/>
      <c r="S199" s="167"/>
    </row>
    <row r="200">
      <c r="A200" s="187"/>
      <c r="B200" s="188"/>
      <c r="C200" s="187"/>
      <c r="D200" s="187"/>
      <c r="E200" s="188"/>
      <c r="F200" s="188"/>
      <c r="G200" s="187"/>
      <c r="H200" s="187"/>
      <c r="I200" s="187"/>
      <c r="J200" s="187"/>
      <c r="K200" s="162"/>
      <c r="L200" s="162"/>
      <c r="M200" s="187"/>
      <c r="N200" s="187"/>
      <c r="O200" s="189"/>
      <c r="P200" s="190"/>
      <c r="Q200" s="167"/>
      <c r="R200" s="167"/>
      <c r="S200" s="167"/>
    </row>
    <row r="201">
      <c r="A201" s="187"/>
      <c r="B201" s="188"/>
      <c r="C201" s="187"/>
      <c r="D201" s="187"/>
      <c r="E201" s="188"/>
      <c r="F201" s="188"/>
      <c r="G201" s="187"/>
      <c r="H201" s="187"/>
      <c r="I201" s="187"/>
      <c r="J201" s="187"/>
      <c r="K201" s="162"/>
      <c r="L201" s="162"/>
      <c r="M201" s="187"/>
      <c r="N201" s="187"/>
      <c r="O201" s="189"/>
      <c r="P201" s="190"/>
      <c r="Q201" s="167"/>
      <c r="R201" s="167"/>
      <c r="S201" s="167"/>
    </row>
    <row r="202">
      <c r="A202" s="187"/>
      <c r="B202" s="188"/>
      <c r="C202" s="187"/>
      <c r="D202" s="187"/>
      <c r="E202" s="188"/>
      <c r="F202" s="188"/>
      <c r="G202" s="187"/>
      <c r="H202" s="187"/>
      <c r="I202" s="187"/>
      <c r="J202" s="187"/>
      <c r="K202" s="162"/>
      <c r="L202" s="162"/>
      <c r="M202" s="187"/>
      <c r="N202" s="187"/>
      <c r="O202" s="189"/>
      <c r="P202" s="190"/>
      <c r="Q202" s="167"/>
      <c r="R202" s="167"/>
      <c r="S202" s="167"/>
    </row>
    <row r="203">
      <c r="A203" s="187"/>
      <c r="B203" s="188"/>
      <c r="C203" s="187"/>
      <c r="D203" s="187"/>
      <c r="E203" s="188"/>
      <c r="F203" s="188"/>
      <c r="G203" s="187"/>
      <c r="H203" s="187"/>
      <c r="I203" s="187"/>
      <c r="J203" s="187"/>
      <c r="K203" s="162"/>
      <c r="L203" s="162"/>
      <c r="M203" s="187"/>
      <c r="N203" s="187"/>
      <c r="O203" s="189"/>
      <c r="P203" s="190"/>
      <c r="Q203" s="167"/>
      <c r="R203" s="167"/>
      <c r="S203" s="167"/>
    </row>
    <row r="204">
      <c r="A204" s="187"/>
      <c r="B204" s="188"/>
      <c r="C204" s="187"/>
      <c r="D204" s="187"/>
      <c r="E204" s="188"/>
      <c r="F204" s="188"/>
      <c r="G204" s="187"/>
      <c r="H204" s="187"/>
      <c r="I204" s="187"/>
      <c r="J204" s="187"/>
      <c r="K204" s="162"/>
      <c r="L204" s="162"/>
      <c r="M204" s="187"/>
      <c r="N204" s="187"/>
      <c r="O204" s="189"/>
      <c r="P204" s="190"/>
      <c r="Q204" s="167"/>
      <c r="R204" s="167"/>
      <c r="S204" s="167"/>
    </row>
    <row r="205">
      <c r="A205" s="187"/>
      <c r="B205" s="188"/>
      <c r="C205" s="187"/>
      <c r="D205" s="187"/>
      <c r="E205" s="188"/>
      <c r="F205" s="188"/>
      <c r="G205" s="187"/>
      <c r="H205" s="187"/>
      <c r="I205" s="187"/>
      <c r="J205" s="187"/>
      <c r="K205" s="162"/>
      <c r="L205" s="162"/>
      <c r="M205" s="187"/>
      <c r="N205" s="187"/>
      <c r="O205" s="189"/>
      <c r="P205" s="190"/>
      <c r="Q205" s="167"/>
      <c r="R205" s="167"/>
      <c r="S205" s="167"/>
    </row>
    <row r="206">
      <c r="A206" s="187"/>
      <c r="B206" s="188"/>
      <c r="C206" s="187"/>
      <c r="D206" s="187"/>
      <c r="E206" s="188"/>
      <c r="F206" s="188"/>
      <c r="G206" s="187"/>
      <c r="H206" s="187"/>
      <c r="I206" s="187"/>
      <c r="J206" s="187"/>
      <c r="K206" s="162"/>
      <c r="L206" s="162"/>
      <c r="M206" s="187"/>
      <c r="N206" s="187"/>
      <c r="O206" s="189"/>
      <c r="P206" s="190"/>
      <c r="Q206" s="167"/>
      <c r="R206" s="167"/>
      <c r="S206" s="167"/>
    </row>
    <row r="207">
      <c r="A207" s="187"/>
      <c r="B207" s="188"/>
      <c r="C207" s="187"/>
      <c r="D207" s="187"/>
      <c r="E207" s="188"/>
      <c r="F207" s="188"/>
      <c r="G207" s="187"/>
      <c r="H207" s="187"/>
      <c r="I207" s="187"/>
      <c r="J207" s="187"/>
      <c r="K207" s="162"/>
      <c r="L207" s="162"/>
      <c r="M207" s="187"/>
      <c r="N207" s="187"/>
      <c r="O207" s="189"/>
      <c r="P207" s="190"/>
      <c r="Q207" s="167"/>
      <c r="R207" s="167"/>
      <c r="S207" s="167"/>
    </row>
    <row r="208">
      <c r="A208" s="187"/>
      <c r="B208" s="188"/>
      <c r="C208" s="187"/>
      <c r="D208" s="187"/>
      <c r="E208" s="188"/>
      <c r="F208" s="188"/>
      <c r="G208" s="187"/>
      <c r="H208" s="187"/>
      <c r="I208" s="187"/>
      <c r="J208" s="187"/>
      <c r="K208" s="162"/>
      <c r="L208" s="162"/>
      <c r="M208" s="187"/>
      <c r="N208" s="187"/>
      <c r="O208" s="189"/>
      <c r="P208" s="190"/>
      <c r="Q208" s="167"/>
      <c r="R208" s="167"/>
      <c r="S208" s="167"/>
    </row>
    <row r="209">
      <c r="A209" s="187"/>
      <c r="B209" s="188"/>
      <c r="C209" s="187"/>
      <c r="D209" s="187"/>
      <c r="E209" s="188"/>
      <c r="F209" s="188"/>
      <c r="G209" s="187"/>
      <c r="H209" s="187"/>
      <c r="I209" s="187"/>
      <c r="J209" s="187"/>
      <c r="K209" s="162"/>
      <c r="L209" s="162"/>
      <c r="M209" s="187"/>
      <c r="N209" s="187"/>
      <c r="O209" s="189"/>
      <c r="P209" s="190"/>
      <c r="Q209" s="167"/>
      <c r="R209" s="167"/>
      <c r="S209" s="167"/>
    </row>
    <row r="210">
      <c r="A210" s="187"/>
      <c r="B210" s="188"/>
      <c r="C210" s="187"/>
      <c r="D210" s="187"/>
      <c r="E210" s="188"/>
      <c r="F210" s="188"/>
      <c r="G210" s="187"/>
      <c r="H210" s="187"/>
      <c r="I210" s="187"/>
      <c r="J210" s="187"/>
      <c r="K210" s="162"/>
      <c r="L210" s="162"/>
      <c r="M210" s="187"/>
      <c r="N210" s="187"/>
      <c r="O210" s="189"/>
      <c r="P210" s="190"/>
      <c r="Q210" s="167"/>
      <c r="R210" s="167"/>
      <c r="S210" s="167"/>
    </row>
    <row r="211">
      <c r="A211" s="187"/>
      <c r="B211" s="188"/>
      <c r="C211" s="187"/>
      <c r="D211" s="187"/>
      <c r="E211" s="188"/>
      <c r="F211" s="188"/>
      <c r="G211" s="187"/>
      <c r="H211" s="187"/>
      <c r="I211" s="187"/>
      <c r="J211" s="187"/>
      <c r="K211" s="162"/>
      <c r="L211" s="162"/>
      <c r="M211" s="187"/>
      <c r="N211" s="187"/>
      <c r="O211" s="189"/>
      <c r="P211" s="190"/>
      <c r="Q211" s="167"/>
      <c r="R211" s="167"/>
      <c r="S211" s="167"/>
    </row>
    <row r="212">
      <c r="A212" s="187"/>
      <c r="B212" s="188"/>
      <c r="C212" s="187"/>
      <c r="D212" s="187"/>
      <c r="E212" s="188"/>
      <c r="F212" s="188"/>
      <c r="G212" s="187"/>
      <c r="H212" s="187"/>
      <c r="I212" s="187"/>
      <c r="J212" s="187"/>
      <c r="K212" s="162"/>
      <c r="L212" s="162"/>
      <c r="M212" s="187"/>
      <c r="N212" s="187"/>
      <c r="O212" s="189"/>
      <c r="P212" s="190"/>
      <c r="Q212" s="167"/>
      <c r="R212" s="167"/>
      <c r="S212" s="167"/>
    </row>
    <row r="213">
      <c r="A213" s="187"/>
      <c r="B213" s="188"/>
      <c r="C213" s="187"/>
      <c r="D213" s="187"/>
      <c r="E213" s="188"/>
      <c r="F213" s="188"/>
      <c r="G213" s="187"/>
      <c r="H213" s="187"/>
      <c r="I213" s="187"/>
      <c r="J213" s="187"/>
      <c r="K213" s="162"/>
      <c r="L213" s="162"/>
      <c r="M213" s="187"/>
      <c r="N213" s="187"/>
      <c r="O213" s="189"/>
      <c r="P213" s="190"/>
      <c r="Q213" s="167"/>
      <c r="R213" s="167"/>
      <c r="S213" s="167"/>
    </row>
    <row r="214">
      <c r="A214" s="187"/>
      <c r="B214" s="188"/>
      <c r="C214" s="187"/>
      <c r="D214" s="187"/>
      <c r="E214" s="188"/>
      <c r="F214" s="188"/>
      <c r="G214" s="187"/>
      <c r="H214" s="187"/>
      <c r="I214" s="187"/>
      <c r="J214" s="187"/>
      <c r="K214" s="162"/>
      <c r="L214" s="162"/>
      <c r="M214" s="187"/>
      <c r="N214" s="187"/>
      <c r="O214" s="189"/>
      <c r="P214" s="190"/>
      <c r="Q214" s="167"/>
      <c r="R214" s="167"/>
      <c r="S214" s="167"/>
    </row>
    <row r="215">
      <c r="A215" s="187"/>
      <c r="B215" s="188"/>
      <c r="C215" s="187"/>
      <c r="D215" s="187"/>
      <c r="E215" s="188"/>
      <c r="F215" s="188"/>
      <c r="G215" s="187"/>
      <c r="H215" s="187"/>
      <c r="I215" s="187"/>
      <c r="J215" s="187"/>
      <c r="K215" s="162"/>
      <c r="L215" s="162"/>
      <c r="M215" s="187"/>
      <c r="N215" s="187"/>
      <c r="O215" s="189"/>
      <c r="P215" s="190"/>
      <c r="Q215" s="167"/>
      <c r="R215" s="167"/>
      <c r="S215" s="167"/>
    </row>
    <row r="216">
      <c r="A216" s="187"/>
      <c r="B216" s="188"/>
      <c r="C216" s="187"/>
      <c r="D216" s="187"/>
      <c r="E216" s="188"/>
      <c r="F216" s="188"/>
      <c r="G216" s="187"/>
      <c r="H216" s="187"/>
      <c r="I216" s="187"/>
      <c r="J216" s="187"/>
      <c r="K216" s="162"/>
      <c r="L216" s="162"/>
      <c r="M216" s="187"/>
      <c r="N216" s="187"/>
      <c r="O216" s="189"/>
      <c r="P216" s="190"/>
      <c r="Q216" s="167"/>
      <c r="R216" s="167"/>
      <c r="S216" s="167"/>
    </row>
    <row r="217">
      <c r="A217" s="187"/>
      <c r="B217" s="188"/>
      <c r="C217" s="187"/>
      <c r="D217" s="187"/>
      <c r="E217" s="188"/>
      <c r="F217" s="188"/>
      <c r="G217" s="187"/>
      <c r="H217" s="187"/>
      <c r="I217" s="187"/>
      <c r="J217" s="187"/>
      <c r="K217" s="162"/>
      <c r="L217" s="162"/>
      <c r="M217" s="187"/>
      <c r="N217" s="187"/>
      <c r="O217" s="189"/>
      <c r="P217" s="190"/>
      <c r="Q217" s="167"/>
      <c r="R217" s="167"/>
      <c r="S217" s="167"/>
    </row>
    <row r="218">
      <c r="A218" s="187"/>
      <c r="B218" s="188"/>
      <c r="C218" s="187"/>
      <c r="D218" s="187"/>
      <c r="E218" s="188"/>
      <c r="F218" s="188"/>
      <c r="G218" s="187"/>
      <c r="H218" s="187"/>
      <c r="I218" s="187"/>
      <c r="J218" s="187"/>
      <c r="K218" s="162"/>
      <c r="L218" s="162"/>
      <c r="M218" s="187"/>
      <c r="N218" s="187"/>
      <c r="O218" s="189"/>
      <c r="P218" s="190"/>
      <c r="Q218" s="167"/>
      <c r="R218" s="167"/>
      <c r="S218" s="167"/>
    </row>
    <row r="219">
      <c r="A219" s="187"/>
      <c r="B219" s="188"/>
      <c r="C219" s="187"/>
      <c r="D219" s="187"/>
      <c r="E219" s="188"/>
      <c r="F219" s="188"/>
      <c r="G219" s="187"/>
      <c r="H219" s="187"/>
      <c r="I219" s="187"/>
      <c r="J219" s="187"/>
      <c r="K219" s="162"/>
      <c r="L219" s="162"/>
      <c r="M219" s="187"/>
      <c r="N219" s="187"/>
      <c r="O219" s="189"/>
      <c r="P219" s="190"/>
      <c r="Q219" s="167"/>
      <c r="R219" s="167"/>
      <c r="S219" s="167"/>
    </row>
    <row r="220">
      <c r="A220" s="187"/>
      <c r="B220" s="188"/>
      <c r="C220" s="187"/>
      <c r="D220" s="187"/>
      <c r="E220" s="188"/>
      <c r="F220" s="188"/>
      <c r="G220" s="187"/>
      <c r="H220" s="187"/>
      <c r="I220" s="187"/>
      <c r="J220" s="187"/>
      <c r="K220" s="162"/>
      <c r="L220" s="162"/>
      <c r="M220" s="187"/>
      <c r="N220" s="187"/>
      <c r="O220" s="189"/>
      <c r="P220" s="190"/>
      <c r="Q220" s="167"/>
      <c r="R220" s="167"/>
      <c r="S220" s="167"/>
    </row>
    <row r="221">
      <c r="A221" s="187"/>
      <c r="B221" s="188"/>
      <c r="C221" s="187"/>
      <c r="D221" s="187"/>
      <c r="E221" s="188"/>
      <c r="F221" s="188"/>
      <c r="G221" s="187"/>
      <c r="H221" s="187"/>
      <c r="I221" s="187"/>
      <c r="J221" s="187"/>
      <c r="K221" s="162"/>
      <c r="L221" s="162"/>
      <c r="M221" s="187"/>
      <c r="N221" s="187"/>
      <c r="O221" s="189"/>
      <c r="P221" s="190"/>
      <c r="Q221" s="167"/>
      <c r="R221" s="167"/>
      <c r="S221" s="167"/>
    </row>
    <row r="222">
      <c r="A222" s="187"/>
      <c r="B222" s="188"/>
      <c r="C222" s="187"/>
      <c r="D222" s="187"/>
      <c r="E222" s="188"/>
      <c r="F222" s="188"/>
      <c r="G222" s="187"/>
      <c r="H222" s="187"/>
      <c r="I222" s="187"/>
      <c r="J222" s="187"/>
      <c r="K222" s="162"/>
      <c r="L222" s="162"/>
      <c r="M222" s="187"/>
      <c r="N222" s="187"/>
      <c r="O222" s="189"/>
      <c r="P222" s="190"/>
      <c r="Q222" s="167"/>
      <c r="R222" s="167"/>
      <c r="S222" s="167"/>
    </row>
    <row r="223">
      <c r="A223" s="187"/>
      <c r="B223" s="188"/>
      <c r="C223" s="187"/>
      <c r="D223" s="187"/>
      <c r="E223" s="188"/>
      <c r="F223" s="188"/>
      <c r="G223" s="187"/>
      <c r="H223" s="187"/>
      <c r="I223" s="187"/>
      <c r="J223" s="187"/>
      <c r="K223" s="162"/>
      <c r="L223" s="162"/>
      <c r="M223" s="187"/>
      <c r="N223" s="187"/>
      <c r="O223" s="189"/>
      <c r="P223" s="190"/>
      <c r="Q223" s="167"/>
      <c r="R223" s="167"/>
      <c r="S223" s="167"/>
    </row>
    <row r="224">
      <c r="A224" s="187"/>
      <c r="B224" s="188"/>
      <c r="C224" s="187"/>
      <c r="D224" s="187"/>
      <c r="E224" s="188"/>
      <c r="F224" s="188"/>
      <c r="G224" s="187"/>
      <c r="H224" s="187"/>
      <c r="I224" s="187"/>
      <c r="J224" s="187"/>
      <c r="K224" s="162"/>
      <c r="L224" s="162"/>
      <c r="M224" s="187"/>
      <c r="N224" s="187"/>
      <c r="O224" s="189"/>
      <c r="P224" s="190"/>
      <c r="Q224" s="167"/>
      <c r="R224" s="167"/>
      <c r="S224" s="167"/>
    </row>
    <row r="225">
      <c r="A225" s="187"/>
      <c r="B225" s="188"/>
      <c r="C225" s="187"/>
      <c r="D225" s="187"/>
      <c r="E225" s="188"/>
      <c r="F225" s="188"/>
      <c r="G225" s="187"/>
      <c r="H225" s="187"/>
      <c r="I225" s="187"/>
      <c r="J225" s="187"/>
      <c r="K225" s="162"/>
      <c r="L225" s="162"/>
      <c r="M225" s="187"/>
      <c r="N225" s="187"/>
      <c r="O225" s="189"/>
      <c r="P225" s="190"/>
      <c r="Q225" s="167"/>
      <c r="R225" s="167"/>
      <c r="S225" s="167"/>
    </row>
    <row r="226">
      <c r="A226" s="187"/>
      <c r="B226" s="188"/>
      <c r="C226" s="187"/>
      <c r="D226" s="187"/>
      <c r="E226" s="188"/>
      <c r="F226" s="188"/>
      <c r="G226" s="187"/>
      <c r="H226" s="187"/>
      <c r="I226" s="187"/>
      <c r="J226" s="187"/>
      <c r="K226" s="162"/>
      <c r="L226" s="162"/>
      <c r="M226" s="187"/>
      <c r="N226" s="187"/>
      <c r="O226" s="189"/>
      <c r="P226" s="190"/>
      <c r="Q226" s="167"/>
      <c r="R226" s="167"/>
      <c r="S226" s="167"/>
    </row>
    <row r="227">
      <c r="A227" s="187"/>
      <c r="B227" s="188"/>
      <c r="C227" s="187"/>
      <c r="D227" s="187"/>
      <c r="E227" s="188"/>
      <c r="F227" s="188"/>
      <c r="G227" s="187"/>
      <c r="H227" s="187"/>
      <c r="I227" s="187"/>
      <c r="J227" s="187"/>
      <c r="K227" s="162"/>
      <c r="L227" s="162"/>
      <c r="M227" s="187"/>
      <c r="N227" s="187"/>
      <c r="O227" s="189"/>
      <c r="P227" s="190"/>
      <c r="Q227" s="167"/>
      <c r="R227" s="167"/>
      <c r="S227" s="167"/>
    </row>
    <row r="228">
      <c r="A228" s="187"/>
      <c r="B228" s="188"/>
      <c r="C228" s="187"/>
      <c r="D228" s="187"/>
      <c r="E228" s="188"/>
      <c r="F228" s="188"/>
      <c r="G228" s="187"/>
      <c r="H228" s="187"/>
      <c r="I228" s="187"/>
      <c r="J228" s="187"/>
      <c r="K228" s="162"/>
      <c r="L228" s="162"/>
      <c r="M228" s="187"/>
      <c r="N228" s="187"/>
      <c r="O228" s="189"/>
      <c r="P228" s="190"/>
      <c r="Q228" s="167"/>
      <c r="R228" s="167"/>
      <c r="S228" s="167"/>
    </row>
    <row r="229">
      <c r="A229" s="187"/>
      <c r="B229" s="188"/>
      <c r="C229" s="187"/>
      <c r="D229" s="187"/>
      <c r="E229" s="188"/>
      <c r="F229" s="188"/>
      <c r="G229" s="187"/>
      <c r="H229" s="187"/>
      <c r="I229" s="187"/>
      <c r="J229" s="187"/>
      <c r="K229" s="162"/>
      <c r="L229" s="162"/>
      <c r="M229" s="187"/>
      <c r="N229" s="187"/>
      <c r="O229" s="189"/>
      <c r="P229" s="190"/>
      <c r="Q229" s="167"/>
      <c r="R229" s="167"/>
      <c r="S229" s="167"/>
    </row>
    <row r="230">
      <c r="A230" s="187"/>
      <c r="B230" s="188"/>
      <c r="C230" s="187"/>
      <c r="D230" s="187"/>
      <c r="E230" s="188"/>
      <c r="F230" s="188"/>
      <c r="G230" s="187"/>
      <c r="H230" s="187"/>
      <c r="I230" s="187"/>
      <c r="J230" s="187"/>
      <c r="K230" s="162"/>
      <c r="L230" s="162"/>
      <c r="M230" s="187"/>
      <c r="N230" s="187"/>
      <c r="O230" s="189"/>
      <c r="P230" s="190"/>
      <c r="Q230" s="167"/>
      <c r="R230" s="167"/>
      <c r="S230" s="167"/>
    </row>
    <row r="231">
      <c r="A231" s="187"/>
      <c r="B231" s="188"/>
      <c r="C231" s="187"/>
      <c r="D231" s="187"/>
      <c r="E231" s="188"/>
      <c r="F231" s="188"/>
      <c r="G231" s="187"/>
      <c r="H231" s="187"/>
      <c r="I231" s="187"/>
      <c r="J231" s="187"/>
      <c r="K231" s="162"/>
      <c r="L231" s="162"/>
      <c r="M231" s="187"/>
      <c r="N231" s="187"/>
      <c r="O231" s="189"/>
      <c r="P231" s="190"/>
      <c r="Q231" s="167"/>
      <c r="R231" s="167"/>
      <c r="S231" s="167"/>
    </row>
    <row r="232">
      <c r="A232" s="187"/>
      <c r="B232" s="188"/>
      <c r="C232" s="187"/>
      <c r="D232" s="187"/>
      <c r="E232" s="188"/>
      <c r="F232" s="188"/>
      <c r="G232" s="187"/>
      <c r="H232" s="187"/>
      <c r="I232" s="187"/>
      <c r="J232" s="187"/>
      <c r="K232" s="162"/>
      <c r="L232" s="162"/>
      <c r="M232" s="187"/>
      <c r="N232" s="187"/>
      <c r="O232" s="189"/>
      <c r="P232" s="190"/>
      <c r="Q232" s="167"/>
      <c r="R232" s="167"/>
      <c r="S232" s="167"/>
    </row>
    <row r="233">
      <c r="A233" s="187"/>
      <c r="B233" s="188"/>
      <c r="C233" s="187"/>
      <c r="D233" s="187"/>
      <c r="E233" s="188"/>
      <c r="F233" s="188"/>
      <c r="G233" s="187"/>
      <c r="H233" s="187"/>
      <c r="I233" s="187"/>
      <c r="J233" s="187"/>
      <c r="K233" s="162"/>
      <c r="L233" s="162"/>
      <c r="M233" s="187"/>
      <c r="N233" s="187"/>
      <c r="O233" s="189"/>
      <c r="P233" s="190"/>
      <c r="Q233" s="167"/>
      <c r="R233" s="167"/>
      <c r="S233" s="167"/>
    </row>
    <row r="234">
      <c r="A234" s="187"/>
      <c r="B234" s="188"/>
      <c r="C234" s="187"/>
      <c r="D234" s="187"/>
      <c r="E234" s="188"/>
      <c r="F234" s="188"/>
      <c r="G234" s="187"/>
      <c r="H234" s="187"/>
      <c r="I234" s="187"/>
      <c r="J234" s="187"/>
      <c r="K234" s="162"/>
      <c r="L234" s="162"/>
      <c r="M234" s="187"/>
      <c r="N234" s="187"/>
      <c r="O234" s="189"/>
      <c r="P234" s="190"/>
      <c r="Q234" s="167"/>
      <c r="R234" s="167"/>
      <c r="S234" s="167"/>
    </row>
    <row r="235">
      <c r="A235" s="187"/>
      <c r="B235" s="188"/>
      <c r="C235" s="187"/>
      <c r="D235" s="187"/>
      <c r="E235" s="188"/>
      <c r="F235" s="188"/>
      <c r="G235" s="187"/>
      <c r="H235" s="187"/>
      <c r="I235" s="187"/>
      <c r="J235" s="187"/>
      <c r="K235" s="162"/>
      <c r="L235" s="162"/>
      <c r="M235" s="187"/>
      <c r="N235" s="187"/>
      <c r="O235" s="189"/>
      <c r="P235" s="190"/>
      <c r="Q235" s="167"/>
      <c r="R235" s="167"/>
      <c r="S235" s="167"/>
    </row>
    <row r="236">
      <c r="A236" s="187"/>
      <c r="B236" s="188"/>
      <c r="C236" s="187"/>
      <c r="D236" s="187"/>
      <c r="E236" s="188"/>
      <c r="F236" s="188"/>
      <c r="G236" s="187"/>
      <c r="H236" s="187"/>
      <c r="I236" s="187"/>
      <c r="J236" s="187"/>
      <c r="K236" s="162"/>
      <c r="L236" s="162"/>
      <c r="M236" s="187"/>
      <c r="N236" s="187"/>
      <c r="O236" s="189"/>
      <c r="P236" s="190"/>
      <c r="Q236" s="167"/>
      <c r="R236" s="167"/>
      <c r="S236" s="167"/>
    </row>
    <row r="237">
      <c r="A237" s="187"/>
      <c r="B237" s="188"/>
      <c r="C237" s="187"/>
      <c r="D237" s="187"/>
      <c r="E237" s="188"/>
      <c r="F237" s="188"/>
      <c r="G237" s="187"/>
      <c r="H237" s="187"/>
      <c r="I237" s="187"/>
      <c r="J237" s="187"/>
      <c r="K237" s="162"/>
      <c r="L237" s="162"/>
      <c r="M237" s="187"/>
      <c r="N237" s="187"/>
      <c r="O237" s="189"/>
      <c r="P237" s="190"/>
      <c r="Q237" s="167"/>
      <c r="R237" s="167"/>
      <c r="S237" s="167"/>
    </row>
    <row r="238">
      <c r="A238" s="187"/>
      <c r="B238" s="188"/>
      <c r="C238" s="187"/>
      <c r="D238" s="187"/>
      <c r="E238" s="188"/>
      <c r="F238" s="188"/>
      <c r="G238" s="187"/>
      <c r="H238" s="187"/>
      <c r="I238" s="187"/>
      <c r="J238" s="187"/>
      <c r="K238" s="162"/>
      <c r="L238" s="162"/>
      <c r="M238" s="187"/>
      <c r="N238" s="187"/>
      <c r="O238" s="189"/>
      <c r="P238" s="190"/>
      <c r="Q238" s="167"/>
      <c r="R238" s="167"/>
      <c r="S238" s="167"/>
    </row>
    <row r="239">
      <c r="A239" s="187"/>
      <c r="B239" s="188"/>
      <c r="C239" s="187"/>
      <c r="D239" s="187"/>
      <c r="E239" s="188"/>
      <c r="F239" s="188"/>
      <c r="G239" s="187"/>
      <c r="H239" s="187"/>
      <c r="I239" s="187"/>
      <c r="J239" s="187"/>
      <c r="K239" s="162"/>
      <c r="L239" s="162"/>
      <c r="M239" s="187"/>
      <c r="N239" s="187"/>
      <c r="O239" s="189"/>
      <c r="P239" s="190"/>
      <c r="Q239" s="167"/>
      <c r="R239" s="167"/>
      <c r="S239" s="167"/>
    </row>
    <row r="240">
      <c r="A240" s="187"/>
      <c r="B240" s="188"/>
      <c r="C240" s="187"/>
      <c r="D240" s="187"/>
      <c r="E240" s="188"/>
      <c r="F240" s="188"/>
      <c r="G240" s="187"/>
      <c r="H240" s="187"/>
      <c r="I240" s="187"/>
      <c r="J240" s="187"/>
      <c r="K240" s="162"/>
      <c r="L240" s="162"/>
      <c r="M240" s="187"/>
      <c r="N240" s="187"/>
      <c r="O240" s="189"/>
      <c r="P240" s="190"/>
      <c r="Q240" s="167"/>
      <c r="R240" s="167"/>
      <c r="S240" s="167"/>
    </row>
    <row r="241">
      <c r="A241" s="187"/>
      <c r="B241" s="188"/>
      <c r="C241" s="187"/>
      <c r="D241" s="187"/>
      <c r="E241" s="188"/>
      <c r="F241" s="188"/>
      <c r="G241" s="187"/>
      <c r="H241" s="187"/>
      <c r="I241" s="187"/>
      <c r="J241" s="187"/>
      <c r="K241" s="162"/>
      <c r="L241" s="162"/>
      <c r="M241" s="187"/>
      <c r="N241" s="187"/>
      <c r="O241" s="189"/>
      <c r="P241" s="190"/>
      <c r="Q241" s="167"/>
      <c r="R241" s="167"/>
      <c r="S241" s="167"/>
    </row>
    <row r="242">
      <c r="A242" s="187"/>
      <c r="B242" s="188"/>
      <c r="C242" s="187"/>
      <c r="D242" s="187"/>
      <c r="E242" s="188"/>
      <c r="F242" s="188"/>
      <c r="G242" s="187"/>
      <c r="H242" s="187"/>
      <c r="I242" s="187"/>
      <c r="J242" s="187"/>
      <c r="K242" s="162"/>
      <c r="L242" s="162"/>
      <c r="M242" s="187"/>
      <c r="N242" s="187"/>
      <c r="O242" s="189"/>
      <c r="P242" s="190"/>
      <c r="Q242" s="167"/>
      <c r="R242" s="167"/>
      <c r="S242" s="167"/>
    </row>
    <row r="243">
      <c r="A243" s="187"/>
      <c r="B243" s="188"/>
      <c r="C243" s="187"/>
      <c r="D243" s="187"/>
      <c r="E243" s="188"/>
      <c r="F243" s="188"/>
      <c r="G243" s="187"/>
      <c r="H243" s="187"/>
      <c r="I243" s="187"/>
      <c r="J243" s="187"/>
      <c r="K243" s="162"/>
      <c r="L243" s="162"/>
      <c r="M243" s="187"/>
      <c r="N243" s="187"/>
      <c r="O243" s="189"/>
      <c r="P243" s="190"/>
      <c r="Q243" s="167"/>
      <c r="R243" s="167"/>
      <c r="S243" s="167"/>
    </row>
    <row r="244">
      <c r="A244" s="187"/>
      <c r="B244" s="188"/>
      <c r="C244" s="187"/>
      <c r="D244" s="187"/>
      <c r="E244" s="188"/>
      <c r="F244" s="188"/>
      <c r="G244" s="187"/>
      <c r="H244" s="187"/>
      <c r="I244" s="187"/>
      <c r="J244" s="187"/>
      <c r="K244" s="162"/>
      <c r="L244" s="162"/>
      <c r="M244" s="187"/>
      <c r="N244" s="187"/>
      <c r="O244" s="189"/>
      <c r="P244" s="190"/>
      <c r="Q244" s="167"/>
      <c r="R244" s="167"/>
      <c r="S244" s="167"/>
    </row>
    <row r="245">
      <c r="A245" s="187"/>
      <c r="B245" s="188"/>
      <c r="C245" s="187"/>
      <c r="D245" s="187"/>
      <c r="E245" s="188"/>
      <c r="F245" s="188"/>
      <c r="G245" s="187"/>
      <c r="H245" s="187"/>
      <c r="I245" s="187"/>
      <c r="J245" s="187"/>
      <c r="K245" s="162"/>
      <c r="L245" s="162"/>
      <c r="M245" s="187"/>
      <c r="N245" s="187"/>
      <c r="O245" s="189"/>
      <c r="P245" s="190"/>
      <c r="Q245" s="167"/>
      <c r="R245" s="167"/>
      <c r="S245" s="167"/>
    </row>
    <row r="246">
      <c r="A246" s="187"/>
      <c r="B246" s="188"/>
      <c r="C246" s="187"/>
      <c r="D246" s="187"/>
      <c r="E246" s="188"/>
      <c r="F246" s="188"/>
      <c r="G246" s="187"/>
      <c r="H246" s="187"/>
      <c r="I246" s="187"/>
      <c r="J246" s="187"/>
      <c r="K246" s="162"/>
      <c r="L246" s="162"/>
      <c r="M246" s="187"/>
      <c r="N246" s="187"/>
      <c r="O246" s="189"/>
      <c r="P246" s="190"/>
      <c r="Q246" s="167"/>
      <c r="R246" s="167"/>
      <c r="S246" s="167"/>
    </row>
    <row r="247">
      <c r="A247" s="187"/>
      <c r="B247" s="188"/>
      <c r="C247" s="187"/>
      <c r="D247" s="187"/>
      <c r="E247" s="188"/>
      <c r="F247" s="188"/>
      <c r="G247" s="187"/>
      <c r="H247" s="187"/>
      <c r="I247" s="187"/>
      <c r="J247" s="187"/>
      <c r="K247" s="162"/>
      <c r="L247" s="162"/>
      <c r="M247" s="187"/>
      <c r="N247" s="187"/>
      <c r="O247" s="189"/>
      <c r="P247" s="190"/>
      <c r="Q247" s="167"/>
      <c r="R247" s="167"/>
      <c r="S247" s="167"/>
    </row>
    <row r="248">
      <c r="A248" s="187"/>
      <c r="B248" s="188"/>
      <c r="C248" s="187"/>
      <c r="D248" s="187"/>
      <c r="E248" s="188"/>
      <c r="F248" s="188"/>
      <c r="G248" s="187"/>
      <c r="H248" s="187"/>
      <c r="I248" s="187"/>
      <c r="J248" s="187"/>
      <c r="K248" s="162"/>
      <c r="L248" s="162"/>
      <c r="M248" s="187"/>
      <c r="N248" s="187"/>
      <c r="O248" s="189"/>
      <c r="P248" s="190"/>
      <c r="Q248" s="167"/>
      <c r="R248" s="167"/>
      <c r="S248" s="167"/>
    </row>
    <row r="249">
      <c r="A249" s="187"/>
      <c r="B249" s="188"/>
      <c r="C249" s="187"/>
      <c r="D249" s="187"/>
      <c r="E249" s="188"/>
      <c r="F249" s="188"/>
      <c r="G249" s="187"/>
      <c r="H249" s="187"/>
      <c r="I249" s="187"/>
      <c r="J249" s="187"/>
      <c r="K249" s="162"/>
      <c r="L249" s="162"/>
      <c r="M249" s="187"/>
      <c r="N249" s="187"/>
      <c r="O249" s="189"/>
      <c r="P249" s="190"/>
      <c r="Q249" s="167"/>
      <c r="R249" s="167"/>
      <c r="S249" s="167"/>
    </row>
    <row r="250">
      <c r="A250" s="187"/>
      <c r="B250" s="188"/>
      <c r="C250" s="187"/>
      <c r="D250" s="187"/>
      <c r="E250" s="188"/>
      <c r="F250" s="188"/>
      <c r="G250" s="187"/>
      <c r="H250" s="187"/>
      <c r="I250" s="187"/>
      <c r="J250" s="187"/>
      <c r="K250" s="162"/>
      <c r="L250" s="162"/>
      <c r="M250" s="187"/>
      <c r="N250" s="187"/>
      <c r="O250" s="189"/>
      <c r="P250" s="190"/>
      <c r="Q250" s="167"/>
      <c r="R250" s="167"/>
      <c r="S250" s="167"/>
    </row>
    <row r="251">
      <c r="A251" s="187"/>
      <c r="B251" s="188"/>
      <c r="C251" s="187"/>
      <c r="D251" s="187"/>
      <c r="E251" s="188"/>
      <c r="F251" s="188"/>
      <c r="G251" s="187"/>
      <c r="H251" s="187"/>
      <c r="I251" s="187"/>
      <c r="J251" s="187"/>
      <c r="K251" s="162"/>
      <c r="L251" s="162"/>
      <c r="M251" s="187"/>
      <c r="N251" s="187"/>
      <c r="O251" s="189"/>
      <c r="P251" s="190"/>
      <c r="Q251" s="167"/>
      <c r="R251" s="167"/>
      <c r="S251" s="167"/>
    </row>
    <row r="252">
      <c r="A252" s="187"/>
      <c r="B252" s="188"/>
      <c r="C252" s="187"/>
      <c r="D252" s="187"/>
      <c r="E252" s="188"/>
      <c r="F252" s="188"/>
      <c r="G252" s="187"/>
      <c r="H252" s="187"/>
      <c r="I252" s="187"/>
      <c r="J252" s="187"/>
      <c r="K252" s="162"/>
      <c r="L252" s="162"/>
      <c r="M252" s="187"/>
      <c r="N252" s="187"/>
      <c r="O252" s="189"/>
      <c r="P252" s="190"/>
      <c r="Q252" s="167"/>
      <c r="R252" s="167"/>
      <c r="S252" s="167"/>
    </row>
    <row r="253">
      <c r="A253" s="187"/>
      <c r="B253" s="188"/>
      <c r="C253" s="187"/>
      <c r="D253" s="187"/>
      <c r="E253" s="188"/>
      <c r="F253" s="188"/>
      <c r="G253" s="187"/>
      <c r="H253" s="187"/>
      <c r="I253" s="187"/>
      <c r="J253" s="187"/>
      <c r="K253" s="162"/>
      <c r="L253" s="162"/>
      <c r="M253" s="187"/>
      <c r="N253" s="187"/>
      <c r="O253" s="189"/>
      <c r="P253" s="190"/>
      <c r="Q253" s="167"/>
      <c r="R253" s="167"/>
      <c r="S253" s="167"/>
    </row>
    <row r="254">
      <c r="A254" s="187"/>
      <c r="B254" s="188"/>
      <c r="C254" s="187"/>
      <c r="D254" s="187"/>
      <c r="E254" s="188"/>
      <c r="F254" s="188"/>
      <c r="G254" s="187"/>
      <c r="H254" s="187"/>
      <c r="I254" s="187"/>
      <c r="J254" s="187"/>
      <c r="K254" s="162"/>
      <c r="L254" s="162"/>
      <c r="M254" s="187"/>
      <c r="N254" s="187"/>
      <c r="O254" s="189"/>
      <c r="P254" s="190"/>
      <c r="Q254" s="167"/>
      <c r="R254" s="167"/>
      <c r="S254" s="167"/>
    </row>
    <row r="255">
      <c r="A255" s="187"/>
      <c r="B255" s="188"/>
      <c r="C255" s="187"/>
      <c r="D255" s="187"/>
      <c r="E255" s="188"/>
      <c r="F255" s="188"/>
      <c r="G255" s="187"/>
      <c r="H255" s="187"/>
      <c r="I255" s="187"/>
      <c r="J255" s="187"/>
      <c r="K255" s="162"/>
      <c r="L255" s="162"/>
      <c r="M255" s="187"/>
      <c r="N255" s="187"/>
      <c r="O255" s="189"/>
      <c r="P255" s="190"/>
      <c r="Q255" s="167"/>
      <c r="R255" s="167"/>
      <c r="S255" s="167"/>
    </row>
    <row r="256">
      <c r="A256" s="187"/>
      <c r="B256" s="188"/>
      <c r="C256" s="187"/>
      <c r="D256" s="187"/>
      <c r="E256" s="188"/>
      <c r="F256" s="188"/>
      <c r="G256" s="187"/>
      <c r="H256" s="187"/>
      <c r="I256" s="187"/>
      <c r="J256" s="187"/>
      <c r="K256" s="162"/>
      <c r="L256" s="162"/>
      <c r="M256" s="187"/>
      <c r="N256" s="187"/>
      <c r="O256" s="189"/>
      <c r="P256" s="190"/>
      <c r="Q256" s="167"/>
      <c r="R256" s="167"/>
      <c r="S256" s="167"/>
    </row>
    <row r="257">
      <c r="A257" s="187"/>
      <c r="B257" s="188"/>
      <c r="C257" s="187"/>
      <c r="D257" s="187"/>
      <c r="E257" s="188"/>
      <c r="F257" s="188"/>
      <c r="G257" s="187"/>
      <c r="H257" s="187"/>
      <c r="I257" s="187"/>
      <c r="J257" s="187"/>
      <c r="K257" s="162"/>
      <c r="L257" s="162"/>
      <c r="M257" s="187"/>
      <c r="N257" s="187"/>
      <c r="O257" s="189"/>
      <c r="P257" s="190"/>
      <c r="Q257" s="167"/>
      <c r="R257" s="167"/>
      <c r="S257" s="167"/>
    </row>
    <row r="258">
      <c r="A258" s="187"/>
      <c r="B258" s="188"/>
      <c r="C258" s="187"/>
      <c r="D258" s="187"/>
      <c r="E258" s="188"/>
      <c r="F258" s="188"/>
      <c r="G258" s="187"/>
      <c r="H258" s="187"/>
      <c r="I258" s="187"/>
      <c r="J258" s="187"/>
      <c r="K258" s="162"/>
      <c r="L258" s="162"/>
      <c r="M258" s="187"/>
      <c r="N258" s="187"/>
      <c r="O258" s="189"/>
      <c r="P258" s="190"/>
      <c r="Q258" s="167"/>
      <c r="R258" s="167"/>
      <c r="S258" s="167"/>
    </row>
    <row r="259">
      <c r="A259" s="187"/>
      <c r="B259" s="188"/>
      <c r="C259" s="187"/>
      <c r="D259" s="187"/>
      <c r="E259" s="188"/>
      <c r="F259" s="188"/>
      <c r="G259" s="187"/>
      <c r="H259" s="187"/>
      <c r="I259" s="187"/>
      <c r="J259" s="187"/>
      <c r="K259" s="162"/>
      <c r="L259" s="162"/>
      <c r="M259" s="187"/>
      <c r="N259" s="187"/>
      <c r="O259" s="189"/>
      <c r="P259" s="190"/>
      <c r="Q259" s="167"/>
      <c r="R259" s="167"/>
      <c r="S259" s="167"/>
    </row>
    <row r="260">
      <c r="A260" s="187"/>
      <c r="B260" s="188"/>
      <c r="C260" s="187"/>
      <c r="D260" s="187"/>
      <c r="E260" s="188"/>
      <c r="F260" s="188"/>
      <c r="G260" s="187"/>
      <c r="H260" s="187"/>
      <c r="I260" s="187"/>
      <c r="J260" s="187"/>
      <c r="K260" s="162"/>
      <c r="L260" s="162"/>
      <c r="M260" s="187"/>
      <c r="N260" s="187"/>
      <c r="O260" s="189"/>
      <c r="P260" s="190"/>
      <c r="Q260" s="167"/>
      <c r="R260" s="167"/>
      <c r="S260" s="167"/>
    </row>
    <row r="261">
      <c r="A261" s="187"/>
      <c r="B261" s="188"/>
      <c r="C261" s="187"/>
      <c r="D261" s="187"/>
      <c r="E261" s="188"/>
      <c r="F261" s="188"/>
      <c r="G261" s="187"/>
      <c r="H261" s="187"/>
      <c r="I261" s="187"/>
      <c r="J261" s="187"/>
      <c r="K261" s="162"/>
      <c r="L261" s="162"/>
      <c r="M261" s="187"/>
      <c r="N261" s="187"/>
      <c r="O261" s="189"/>
      <c r="P261" s="190"/>
      <c r="Q261" s="167"/>
      <c r="R261" s="167"/>
      <c r="S261" s="167"/>
    </row>
    <row r="262">
      <c r="A262" s="187"/>
      <c r="B262" s="188"/>
      <c r="C262" s="187"/>
      <c r="D262" s="187"/>
      <c r="E262" s="188"/>
      <c r="F262" s="188"/>
      <c r="G262" s="187"/>
      <c r="H262" s="187"/>
      <c r="I262" s="187"/>
      <c r="J262" s="187"/>
      <c r="K262" s="162"/>
      <c r="L262" s="162"/>
      <c r="M262" s="187"/>
      <c r="N262" s="187"/>
      <c r="O262" s="189"/>
      <c r="P262" s="190"/>
      <c r="Q262" s="167"/>
      <c r="R262" s="167"/>
      <c r="S262" s="167"/>
    </row>
    <row r="263">
      <c r="A263" s="187"/>
      <c r="B263" s="188"/>
      <c r="C263" s="187"/>
      <c r="D263" s="187"/>
      <c r="E263" s="188"/>
      <c r="F263" s="188"/>
      <c r="G263" s="187"/>
      <c r="H263" s="187"/>
      <c r="I263" s="187"/>
      <c r="J263" s="187"/>
      <c r="K263" s="162"/>
      <c r="L263" s="162"/>
      <c r="M263" s="187"/>
      <c r="N263" s="187"/>
      <c r="O263" s="189"/>
      <c r="P263" s="190"/>
      <c r="Q263" s="167"/>
      <c r="R263" s="167"/>
      <c r="S263" s="167"/>
    </row>
    <row r="264">
      <c r="A264" s="187"/>
      <c r="B264" s="188"/>
      <c r="C264" s="187"/>
      <c r="D264" s="187"/>
      <c r="E264" s="188"/>
      <c r="F264" s="188"/>
      <c r="G264" s="187"/>
      <c r="H264" s="187"/>
      <c r="I264" s="187"/>
      <c r="J264" s="187"/>
      <c r="K264" s="162"/>
      <c r="L264" s="162"/>
      <c r="M264" s="187"/>
      <c r="N264" s="187"/>
      <c r="O264" s="189"/>
      <c r="P264" s="190"/>
      <c r="Q264" s="167"/>
      <c r="R264" s="167"/>
      <c r="S264" s="167"/>
    </row>
    <row r="265">
      <c r="A265" s="187"/>
      <c r="B265" s="188"/>
      <c r="C265" s="187"/>
      <c r="D265" s="187"/>
      <c r="E265" s="188"/>
      <c r="F265" s="188"/>
      <c r="G265" s="187"/>
      <c r="H265" s="187"/>
      <c r="I265" s="187"/>
      <c r="J265" s="187"/>
      <c r="K265" s="162"/>
      <c r="L265" s="162"/>
      <c r="M265" s="187"/>
      <c r="N265" s="187"/>
      <c r="O265" s="189"/>
      <c r="P265" s="190"/>
      <c r="Q265" s="167"/>
      <c r="R265" s="167"/>
      <c r="S265" s="167"/>
    </row>
    <row r="266">
      <c r="A266" s="187"/>
      <c r="B266" s="188"/>
      <c r="C266" s="187"/>
      <c r="D266" s="187"/>
      <c r="E266" s="188"/>
      <c r="F266" s="188"/>
      <c r="G266" s="187"/>
      <c r="H266" s="187"/>
      <c r="I266" s="187"/>
      <c r="J266" s="187"/>
      <c r="K266" s="162"/>
      <c r="L266" s="162"/>
      <c r="M266" s="187"/>
      <c r="N266" s="187"/>
      <c r="O266" s="189"/>
      <c r="P266" s="190"/>
      <c r="Q266" s="167"/>
      <c r="R266" s="167"/>
      <c r="S266" s="167"/>
    </row>
    <row r="267">
      <c r="A267" s="187"/>
      <c r="B267" s="188"/>
      <c r="C267" s="187"/>
      <c r="D267" s="187"/>
      <c r="E267" s="188"/>
      <c r="F267" s="188"/>
      <c r="G267" s="187"/>
      <c r="H267" s="187"/>
      <c r="I267" s="187"/>
      <c r="J267" s="187"/>
      <c r="K267" s="162"/>
      <c r="L267" s="162"/>
      <c r="M267" s="187"/>
      <c r="N267" s="187"/>
      <c r="O267" s="189"/>
      <c r="P267" s="190"/>
      <c r="Q267" s="167"/>
      <c r="R267" s="167"/>
      <c r="S267" s="167"/>
    </row>
    <row r="268">
      <c r="A268" s="187"/>
      <c r="B268" s="188"/>
      <c r="C268" s="187"/>
      <c r="D268" s="187"/>
      <c r="E268" s="188"/>
      <c r="F268" s="188"/>
      <c r="G268" s="187"/>
      <c r="H268" s="187"/>
      <c r="I268" s="187"/>
      <c r="J268" s="187"/>
      <c r="K268" s="162"/>
      <c r="L268" s="162"/>
      <c r="M268" s="187"/>
      <c r="N268" s="187"/>
      <c r="O268" s="189"/>
      <c r="P268" s="190"/>
      <c r="Q268" s="167"/>
      <c r="R268" s="167"/>
      <c r="S268" s="167"/>
    </row>
    <row r="269">
      <c r="A269" s="187"/>
      <c r="B269" s="188"/>
      <c r="C269" s="187"/>
      <c r="D269" s="187"/>
      <c r="E269" s="188"/>
      <c r="F269" s="188"/>
      <c r="G269" s="187"/>
      <c r="H269" s="187"/>
      <c r="I269" s="187"/>
      <c r="J269" s="187"/>
      <c r="K269" s="162"/>
      <c r="L269" s="162"/>
      <c r="M269" s="187"/>
      <c r="N269" s="187"/>
      <c r="O269" s="189"/>
      <c r="P269" s="190"/>
      <c r="Q269" s="167"/>
      <c r="R269" s="167"/>
      <c r="S269" s="167"/>
    </row>
    <row r="270">
      <c r="A270" s="187"/>
      <c r="B270" s="188"/>
      <c r="C270" s="187"/>
      <c r="D270" s="187"/>
      <c r="E270" s="188"/>
      <c r="F270" s="188"/>
      <c r="G270" s="187"/>
      <c r="H270" s="187"/>
      <c r="I270" s="187"/>
      <c r="J270" s="187"/>
      <c r="K270" s="162"/>
      <c r="L270" s="162"/>
      <c r="M270" s="187"/>
      <c r="N270" s="187"/>
      <c r="O270" s="189"/>
      <c r="P270" s="190"/>
      <c r="Q270" s="167"/>
      <c r="R270" s="167"/>
      <c r="S270" s="167"/>
    </row>
    <row r="271">
      <c r="A271" s="187"/>
      <c r="B271" s="188"/>
      <c r="C271" s="187"/>
      <c r="D271" s="187"/>
      <c r="E271" s="188"/>
      <c r="F271" s="188"/>
      <c r="G271" s="187"/>
      <c r="H271" s="187"/>
      <c r="I271" s="187"/>
      <c r="J271" s="187"/>
      <c r="K271" s="162"/>
      <c r="L271" s="162"/>
      <c r="M271" s="187"/>
      <c r="N271" s="187"/>
      <c r="O271" s="189"/>
      <c r="P271" s="190"/>
      <c r="Q271" s="167"/>
      <c r="R271" s="167"/>
      <c r="S271" s="167"/>
    </row>
    <row r="272">
      <c r="A272" s="187"/>
      <c r="B272" s="188"/>
      <c r="C272" s="187"/>
      <c r="D272" s="187"/>
      <c r="E272" s="188"/>
      <c r="F272" s="188"/>
      <c r="G272" s="187"/>
      <c r="H272" s="187"/>
      <c r="I272" s="187"/>
      <c r="J272" s="187"/>
      <c r="K272" s="162"/>
      <c r="L272" s="162"/>
      <c r="M272" s="187"/>
      <c r="N272" s="187"/>
      <c r="O272" s="189"/>
      <c r="P272" s="190"/>
      <c r="Q272" s="167"/>
      <c r="R272" s="167"/>
      <c r="S272" s="167"/>
    </row>
    <row r="273">
      <c r="A273" s="187"/>
      <c r="B273" s="188"/>
      <c r="C273" s="187"/>
      <c r="D273" s="187"/>
      <c r="E273" s="188"/>
      <c r="F273" s="188"/>
      <c r="G273" s="187"/>
      <c r="H273" s="187"/>
      <c r="I273" s="187"/>
      <c r="J273" s="187"/>
      <c r="K273" s="162"/>
      <c r="L273" s="162"/>
      <c r="M273" s="187"/>
      <c r="N273" s="187"/>
      <c r="O273" s="189"/>
      <c r="P273" s="190"/>
      <c r="Q273" s="167"/>
      <c r="R273" s="167"/>
      <c r="S273" s="167"/>
    </row>
    <row r="274">
      <c r="A274" s="187"/>
      <c r="B274" s="188"/>
      <c r="C274" s="187"/>
      <c r="D274" s="187"/>
      <c r="E274" s="188"/>
      <c r="F274" s="188"/>
      <c r="G274" s="187"/>
      <c r="H274" s="187"/>
      <c r="I274" s="187"/>
      <c r="J274" s="187"/>
      <c r="K274" s="162"/>
      <c r="L274" s="162"/>
      <c r="M274" s="187"/>
      <c r="N274" s="187"/>
      <c r="O274" s="189"/>
      <c r="P274" s="190"/>
      <c r="Q274" s="167"/>
      <c r="R274" s="167"/>
      <c r="S274" s="167"/>
    </row>
    <row r="275">
      <c r="A275" s="187"/>
      <c r="B275" s="188"/>
      <c r="C275" s="187"/>
      <c r="D275" s="187"/>
      <c r="E275" s="188"/>
      <c r="F275" s="188"/>
      <c r="G275" s="187"/>
      <c r="H275" s="187"/>
      <c r="I275" s="187"/>
      <c r="J275" s="187"/>
      <c r="K275" s="162"/>
      <c r="L275" s="162"/>
      <c r="M275" s="187"/>
      <c r="N275" s="187"/>
      <c r="O275" s="189"/>
      <c r="P275" s="190"/>
      <c r="Q275" s="167"/>
      <c r="R275" s="167"/>
      <c r="S275" s="167"/>
    </row>
    <row r="276">
      <c r="A276" s="187"/>
      <c r="B276" s="188"/>
      <c r="C276" s="187"/>
      <c r="D276" s="187"/>
      <c r="E276" s="188"/>
      <c r="F276" s="188"/>
      <c r="G276" s="187"/>
      <c r="H276" s="187"/>
      <c r="I276" s="187"/>
      <c r="J276" s="187"/>
      <c r="K276" s="162"/>
      <c r="L276" s="162"/>
      <c r="M276" s="187"/>
      <c r="N276" s="187"/>
      <c r="O276" s="189"/>
      <c r="P276" s="190"/>
      <c r="Q276" s="167"/>
      <c r="R276" s="167"/>
      <c r="S276" s="167"/>
    </row>
    <row r="277">
      <c r="A277" s="187"/>
      <c r="B277" s="188"/>
      <c r="C277" s="187"/>
      <c r="D277" s="187"/>
      <c r="E277" s="188"/>
      <c r="F277" s="188"/>
      <c r="G277" s="187"/>
      <c r="H277" s="187"/>
      <c r="I277" s="187"/>
      <c r="J277" s="187"/>
      <c r="K277" s="162"/>
      <c r="L277" s="162"/>
      <c r="M277" s="187"/>
      <c r="N277" s="187"/>
      <c r="O277" s="189"/>
      <c r="P277" s="190"/>
      <c r="Q277" s="167"/>
      <c r="R277" s="167"/>
      <c r="S277" s="167"/>
    </row>
    <row r="278">
      <c r="A278" s="187"/>
      <c r="B278" s="188"/>
      <c r="C278" s="187"/>
      <c r="D278" s="187"/>
      <c r="E278" s="188"/>
      <c r="F278" s="188"/>
      <c r="G278" s="187"/>
      <c r="H278" s="187"/>
      <c r="I278" s="187"/>
      <c r="J278" s="187"/>
      <c r="K278" s="162"/>
      <c r="L278" s="162"/>
      <c r="M278" s="187"/>
      <c r="N278" s="187"/>
      <c r="O278" s="189"/>
      <c r="P278" s="190"/>
      <c r="Q278" s="167"/>
      <c r="R278" s="167"/>
      <c r="S278" s="167"/>
    </row>
    <row r="279">
      <c r="A279" s="187"/>
      <c r="B279" s="188"/>
      <c r="C279" s="187"/>
      <c r="D279" s="187"/>
      <c r="E279" s="188"/>
      <c r="F279" s="188"/>
      <c r="G279" s="187"/>
      <c r="H279" s="187"/>
      <c r="I279" s="187"/>
      <c r="J279" s="187"/>
      <c r="K279" s="162"/>
      <c r="L279" s="162"/>
      <c r="M279" s="187"/>
      <c r="N279" s="187"/>
      <c r="O279" s="189"/>
      <c r="P279" s="190"/>
      <c r="Q279" s="167"/>
      <c r="R279" s="167"/>
      <c r="S279" s="167"/>
    </row>
    <row r="280">
      <c r="A280" s="187"/>
      <c r="B280" s="188"/>
      <c r="C280" s="187"/>
      <c r="D280" s="187"/>
      <c r="E280" s="188"/>
      <c r="F280" s="188"/>
      <c r="G280" s="187"/>
      <c r="H280" s="187"/>
      <c r="I280" s="187"/>
      <c r="J280" s="187"/>
      <c r="K280" s="162"/>
      <c r="L280" s="162"/>
      <c r="M280" s="187"/>
      <c r="N280" s="187"/>
      <c r="O280" s="189"/>
      <c r="P280" s="190"/>
      <c r="Q280" s="167"/>
      <c r="R280" s="167"/>
      <c r="S280" s="167"/>
    </row>
    <row r="281">
      <c r="A281" s="187"/>
      <c r="B281" s="188"/>
      <c r="C281" s="187"/>
      <c r="D281" s="187"/>
      <c r="E281" s="188"/>
      <c r="F281" s="188"/>
      <c r="G281" s="187"/>
      <c r="H281" s="187"/>
      <c r="I281" s="187"/>
      <c r="J281" s="187"/>
      <c r="K281" s="162"/>
      <c r="L281" s="162"/>
      <c r="M281" s="187"/>
      <c r="N281" s="187"/>
      <c r="O281" s="189"/>
      <c r="P281" s="190"/>
      <c r="Q281" s="167"/>
      <c r="R281" s="167"/>
      <c r="S281" s="167"/>
    </row>
    <row r="282">
      <c r="A282" s="187"/>
      <c r="B282" s="188"/>
      <c r="C282" s="187"/>
      <c r="D282" s="187"/>
      <c r="E282" s="188"/>
      <c r="F282" s="188"/>
      <c r="G282" s="187"/>
      <c r="H282" s="187"/>
      <c r="I282" s="187"/>
      <c r="J282" s="187"/>
      <c r="K282" s="162"/>
      <c r="L282" s="162"/>
      <c r="M282" s="187"/>
      <c r="N282" s="187"/>
      <c r="O282" s="189"/>
      <c r="P282" s="190"/>
      <c r="Q282" s="167"/>
      <c r="R282" s="167"/>
      <c r="S282" s="167"/>
    </row>
    <row r="283">
      <c r="A283" s="187"/>
      <c r="B283" s="188"/>
      <c r="C283" s="187"/>
      <c r="D283" s="187"/>
      <c r="E283" s="188"/>
      <c r="F283" s="188"/>
      <c r="G283" s="187"/>
      <c r="H283" s="187"/>
      <c r="I283" s="187"/>
      <c r="J283" s="187"/>
      <c r="K283" s="162"/>
      <c r="L283" s="162"/>
      <c r="M283" s="187"/>
      <c r="N283" s="187"/>
      <c r="O283" s="189"/>
      <c r="P283" s="190"/>
      <c r="Q283" s="167"/>
      <c r="R283" s="167"/>
      <c r="S283" s="167"/>
    </row>
    <row r="284">
      <c r="A284" s="187"/>
      <c r="B284" s="188"/>
      <c r="C284" s="187"/>
      <c r="D284" s="187"/>
      <c r="E284" s="188"/>
      <c r="F284" s="188"/>
      <c r="G284" s="187"/>
      <c r="H284" s="187"/>
      <c r="I284" s="187"/>
      <c r="J284" s="187"/>
      <c r="K284" s="162"/>
      <c r="L284" s="162"/>
      <c r="M284" s="187"/>
      <c r="N284" s="187"/>
      <c r="O284" s="189"/>
      <c r="P284" s="190"/>
      <c r="Q284" s="167"/>
      <c r="R284" s="167"/>
      <c r="S284" s="167"/>
    </row>
    <row r="285">
      <c r="A285" s="187"/>
      <c r="B285" s="188"/>
      <c r="C285" s="187"/>
      <c r="D285" s="187"/>
      <c r="E285" s="188"/>
      <c r="F285" s="188"/>
      <c r="G285" s="187"/>
      <c r="H285" s="187"/>
      <c r="I285" s="187"/>
      <c r="J285" s="187"/>
      <c r="K285" s="162"/>
      <c r="L285" s="162"/>
      <c r="M285" s="187"/>
      <c r="N285" s="187"/>
      <c r="O285" s="189"/>
      <c r="P285" s="190"/>
      <c r="Q285" s="167"/>
      <c r="R285" s="167"/>
      <c r="S285" s="167"/>
    </row>
    <row r="286">
      <c r="A286" s="187"/>
      <c r="B286" s="188"/>
      <c r="C286" s="187"/>
      <c r="D286" s="187"/>
      <c r="E286" s="188"/>
      <c r="F286" s="188"/>
      <c r="G286" s="187"/>
      <c r="H286" s="187"/>
      <c r="I286" s="187"/>
      <c r="J286" s="187"/>
      <c r="K286" s="162"/>
      <c r="L286" s="162"/>
      <c r="M286" s="187"/>
      <c r="N286" s="187"/>
      <c r="O286" s="189"/>
      <c r="P286" s="190"/>
      <c r="Q286" s="167"/>
      <c r="R286" s="167"/>
      <c r="S286" s="167"/>
    </row>
    <row r="287">
      <c r="A287" s="187"/>
      <c r="B287" s="188"/>
      <c r="C287" s="187"/>
      <c r="D287" s="187"/>
      <c r="E287" s="188"/>
      <c r="F287" s="188"/>
      <c r="G287" s="187"/>
      <c r="H287" s="187"/>
      <c r="I287" s="187"/>
      <c r="J287" s="187"/>
      <c r="K287" s="162"/>
      <c r="L287" s="162"/>
      <c r="M287" s="187"/>
      <c r="N287" s="187"/>
      <c r="O287" s="189"/>
      <c r="P287" s="190"/>
      <c r="Q287" s="167"/>
      <c r="R287" s="167"/>
      <c r="S287" s="167"/>
    </row>
    <row r="288">
      <c r="A288" s="187"/>
      <c r="B288" s="188"/>
      <c r="C288" s="187"/>
      <c r="D288" s="187"/>
      <c r="E288" s="188"/>
      <c r="F288" s="188"/>
      <c r="G288" s="187"/>
      <c r="H288" s="187"/>
      <c r="I288" s="187"/>
      <c r="J288" s="187"/>
      <c r="K288" s="162"/>
      <c r="L288" s="162"/>
      <c r="M288" s="187"/>
      <c r="N288" s="187"/>
      <c r="O288" s="189"/>
      <c r="P288" s="190"/>
      <c r="Q288" s="167"/>
      <c r="R288" s="167"/>
      <c r="S288" s="167"/>
    </row>
    <row r="289">
      <c r="A289" s="187"/>
      <c r="B289" s="188"/>
      <c r="C289" s="187"/>
      <c r="D289" s="187"/>
      <c r="E289" s="188"/>
      <c r="F289" s="188"/>
      <c r="G289" s="187"/>
      <c r="H289" s="187"/>
      <c r="I289" s="187"/>
      <c r="J289" s="187"/>
      <c r="K289" s="162"/>
      <c r="L289" s="162"/>
      <c r="M289" s="187"/>
      <c r="N289" s="187"/>
      <c r="O289" s="189"/>
      <c r="P289" s="190"/>
      <c r="Q289" s="167"/>
      <c r="R289" s="167"/>
      <c r="S289" s="167"/>
    </row>
    <row r="290">
      <c r="A290" s="187"/>
      <c r="B290" s="188"/>
      <c r="C290" s="187"/>
      <c r="D290" s="187"/>
      <c r="E290" s="188"/>
      <c r="F290" s="188"/>
      <c r="G290" s="187"/>
      <c r="H290" s="187"/>
      <c r="I290" s="187"/>
      <c r="J290" s="187"/>
      <c r="K290" s="162"/>
      <c r="L290" s="162"/>
      <c r="M290" s="187"/>
      <c r="N290" s="187"/>
      <c r="O290" s="189"/>
      <c r="P290" s="190"/>
      <c r="Q290" s="167"/>
      <c r="R290" s="167"/>
      <c r="S290" s="167"/>
    </row>
    <row r="291">
      <c r="A291" s="187"/>
      <c r="B291" s="188"/>
      <c r="C291" s="187"/>
      <c r="D291" s="187"/>
      <c r="E291" s="188"/>
      <c r="F291" s="188"/>
      <c r="G291" s="187"/>
      <c r="H291" s="187"/>
      <c r="I291" s="187"/>
      <c r="J291" s="187"/>
      <c r="K291" s="162"/>
      <c r="L291" s="162"/>
      <c r="M291" s="187"/>
      <c r="N291" s="187"/>
      <c r="O291" s="189"/>
      <c r="P291" s="190"/>
      <c r="Q291" s="167"/>
      <c r="R291" s="167"/>
      <c r="S291" s="167"/>
    </row>
    <row r="292">
      <c r="A292" s="187"/>
      <c r="B292" s="188"/>
      <c r="C292" s="187"/>
      <c r="D292" s="187"/>
      <c r="E292" s="188"/>
      <c r="F292" s="188"/>
      <c r="G292" s="187"/>
      <c r="H292" s="187"/>
      <c r="I292" s="187"/>
      <c r="J292" s="187"/>
      <c r="K292" s="162"/>
      <c r="L292" s="162"/>
      <c r="M292" s="187"/>
      <c r="N292" s="187"/>
      <c r="O292" s="189"/>
      <c r="P292" s="190"/>
      <c r="Q292" s="167"/>
      <c r="R292" s="167"/>
      <c r="S292" s="167"/>
    </row>
    <row r="293">
      <c r="A293" s="187"/>
      <c r="B293" s="188"/>
      <c r="C293" s="187"/>
      <c r="D293" s="187"/>
      <c r="E293" s="188"/>
      <c r="F293" s="188"/>
      <c r="G293" s="187"/>
      <c r="H293" s="187"/>
      <c r="I293" s="187"/>
      <c r="J293" s="187"/>
      <c r="K293" s="162"/>
      <c r="L293" s="162"/>
      <c r="M293" s="187"/>
      <c r="N293" s="187"/>
      <c r="O293" s="189"/>
      <c r="P293" s="190"/>
      <c r="Q293" s="167"/>
      <c r="R293" s="167"/>
      <c r="S293" s="167"/>
    </row>
    <row r="294">
      <c r="A294" s="187"/>
      <c r="B294" s="188"/>
      <c r="C294" s="187"/>
      <c r="D294" s="187"/>
      <c r="E294" s="188"/>
      <c r="F294" s="188"/>
      <c r="G294" s="187"/>
      <c r="H294" s="187"/>
      <c r="I294" s="187"/>
      <c r="J294" s="187"/>
      <c r="K294" s="162"/>
      <c r="L294" s="162"/>
      <c r="M294" s="187"/>
      <c r="N294" s="187"/>
      <c r="O294" s="189"/>
      <c r="P294" s="190"/>
      <c r="Q294" s="167"/>
      <c r="R294" s="167"/>
      <c r="S294" s="167"/>
    </row>
    <row r="295">
      <c r="A295" s="187"/>
      <c r="B295" s="188"/>
      <c r="C295" s="187"/>
      <c r="D295" s="187"/>
      <c r="E295" s="188"/>
      <c r="F295" s="188"/>
      <c r="G295" s="187"/>
      <c r="H295" s="187"/>
      <c r="I295" s="187"/>
      <c r="J295" s="187"/>
      <c r="K295" s="162"/>
      <c r="L295" s="162"/>
      <c r="M295" s="187"/>
      <c r="N295" s="187"/>
      <c r="O295" s="189"/>
      <c r="P295" s="190"/>
      <c r="Q295" s="167"/>
      <c r="R295" s="167"/>
      <c r="S295" s="167"/>
    </row>
    <row r="296">
      <c r="A296" s="187"/>
      <c r="B296" s="188"/>
      <c r="C296" s="187"/>
      <c r="D296" s="187"/>
      <c r="E296" s="188"/>
      <c r="F296" s="188"/>
      <c r="G296" s="187"/>
      <c r="H296" s="187"/>
      <c r="I296" s="187"/>
      <c r="J296" s="187"/>
      <c r="K296" s="162"/>
      <c r="L296" s="162"/>
      <c r="M296" s="187"/>
      <c r="N296" s="187"/>
      <c r="O296" s="189"/>
      <c r="P296" s="190"/>
      <c r="Q296" s="167"/>
      <c r="R296" s="167"/>
      <c r="S296" s="167"/>
    </row>
    <row r="297">
      <c r="A297" s="187"/>
      <c r="B297" s="188"/>
      <c r="C297" s="187"/>
      <c r="D297" s="187"/>
      <c r="E297" s="188"/>
      <c r="F297" s="188"/>
      <c r="G297" s="187"/>
      <c r="H297" s="187"/>
      <c r="I297" s="187"/>
      <c r="J297" s="187"/>
      <c r="K297" s="162"/>
      <c r="L297" s="162"/>
      <c r="M297" s="187"/>
      <c r="N297" s="187"/>
      <c r="O297" s="189"/>
      <c r="P297" s="190"/>
      <c r="Q297" s="167"/>
      <c r="R297" s="167"/>
      <c r="S297" s="167"/>
    </row>
    <row r="298">
      <c r="A298" s="187"/>
      <c r="B298" s="188"/>
      <c r="C298" s="187"/>
      <c r="D298" s="187"/>
      <c r="E298" s="188"/>
      <c r="F298" s="188"/>
      <c r="G298" s="187"/>
      <c r="H298" s="187"/>
      <c r="I298" s="187"/>
      <c r="J298" s="187"/>
      <c r="K298" s="162"/>
      <c r="L298" s="162"/>
      <c r="M298" s="187"/>
      <c r="N298" s="187"/>
      <c r="O298" s="189"/>
      <c r="P298" s="190"/>
      <c r="Q298" s="167"/>
      <c r="R298" s="167"/>
      <c r="S298" s="167"/>
    </row>
    <row r="299">
      <c r="A299" s="187"/>
      <c r="B299" s="188"/>
      <c r="C299" s="187"/>
      <c r="D299" s="187"/>
      <c r="E299" s="188"/>
      <c r="F299" s="188"/>
      <c r="G299" s="187"/>
      <c r="H299" s="187"/>
      <c r="I299" s="187"/>
      <c r="J299" s="187"/>
      <c r="K299" s="162"/>
      <c r="L299" s="162"/>
      <c r="M299" s="187"/>
      <c r="N299" s="187"/>
      <c r="O299" s="189"/>
      <c r="P299" s="190"/>
      <c r="Q299" s="167"/>
      <c r="R299" s="167"/>
      <c r="S299" s="167"/>
    </row>
    <row r="300">
      <c r="A300" s="187"/>
      <c r="B300" s="188"/>
      <c r="C300" s="187"/>
      <c r="D300" s="187"/>
      <c r="E300" s="188"/>
      <c r="F300" s="188"/>
      <c r="G300" s="187"/>
      <c r="H300" s="187"/>
      <c r="I300" s="187"/>
      <c r="J300" s="187"/>
      <c r="K300" s="162"/>
      <c r="L300" s="162"/>
      <c r="M300" s="187"/>
      <c r="N300" s="187"/>
      <c r="O300" s="189"/>
      <c r="P300" s="190"/>
      <c r="Q300" s="167"/>
      <c r="R300" s="167"/>
      <c r="S300" s="167"/>
    </row>
    <row r="301">
      <c r="A301" s="187"/>
      <c r="B301" s="188"/>
      <c r="C301" s="187"/>
      <c r="D301" s="187"/>
      <c r="E301" s="188"/>
      <c r="F301" s="188"/>
      <c r="G301" s="187"/>
      <c r="H301" s="187"/>
      <c r="I301" s="187"/>
      <c r="J301" s="187"/>
      <c r="K301" s="162"/>
      <c r="L301" s="162"/>
      <c r="M301" s="187"/>
      <c r="N301" s="187"/>
      <c r="O301" s="189"/>
      <c r="P301" s="190"/>
      <c r="Q301" s="167"/>
      <c r="R301" s="167"/>
      <c r="S301" s="167"/>
    </row>
    <row r="302">
      <c r="A302" s="187"/>
      <c r="B302" s="188"/>
      <c r="C302" s="187"/>
      <c r="D302" s="187"/>
      <c r="E302" s="188"/>
      <c r="F302" s="188"/>
      <c r="G302" s="187"/>
      <c r="H302" s="187"/>
      <c r="I302" s="187"/>
      <c r="J302" s="187"/>
      <c r="K302" s="162"/>
      <c r="L302" s="162"/>
      <c r="M302" s="187"/>
      <c r="N302" s="187"/>
      <c r="O302" s="189"/>
      <c r="P302" s="190"/>
      <c r="Q302" s="167"/>
      <c r="R302" s="167"/>
      <c r="S302" s="167"/>
    </row>
    <row r="303">
      <c r="A303" s="187"/>
      <c r="B303" s="188"/>
      <c r="C303" s="187"/>
      <c r="D303" s="187"/>
      <c r="E303" s="188"/>
      <c r="F303" s="188"/>
      <c r="G303" s="187"/>
      <c r="H303" s="187"/>
      <c r="I303" s="187"/>
      <c r="J303" s="187"/>
      <c r="K303" s="162"/>
      <c r="L303" s="162"/>
      <c r="M303" s="187"/>
      <c r="N303" s="187"/>
      <c r="O303" s="189"/>
      <c r="P303" s="190"/>
      <c r="Q303" s="167"/>
      <c r="R303" s="167"/>
      <c r="S303" s="167"/>
    </row>
    <row r="304">
      <c r="A304" s="187"/>
      <c r="B304" s="188"/>
      <c r="C304" s="187"/>
      <c r="D304" s="187"/>
      <c r="E304" s="188"/>
      <c r="F304" s="188"/>
      <c r="G304" s="187"/>
      <c r="H304" s="187"/>
      <c r="I304" s="187"/>
      <c r="J304" s="187"/>
      <c r="K304" s="162"/>
      <c r="L304" s="162"/>
      <c r="M304" s="187"/>
      <c r="N304" s="187"/>
      <c r="O304" s="189"/>
      <c r="P304" s="190"/>
      <c r="Q304" s="167"/>
      <c r="R304" s="167"/>
      <c r="S304" s="167"/>
    </row>
    <row r="305">
      <c r="A305" s="187"/>
      <c r="B305" s="188"/>
      <c r="C305" s="187"/>
      <c r="D305" s="187"/>
      <c r="E305" s="188"/>
      <c r="F305" s="188"/>
      <c r="G305" s="187"/>
      <c r="H305" s="187"/>
      <c r="I305" s="187"/>
      <c r="J305" s="187"/>
      <c r="K305" s="162"/>
      <c r="L305" s="162"/>
      <c r="M305" s="187"/>
      <c r="N305" s="187"/>
      <c r="O305" s="189"/>
      <c r="P305" s="190"/>
      <c r="Q305" s="167"/>
      <c r="R305" s="167"/>
      <c r="S305" s="167"/>
    </row>
    <row r="306">
      <c r="A306" s="187"/>
      <c r="B306" s="188"/>
      <c r="C306" s="187"/>
      <c r="D306" s="187"/>
      <c r="E306" s="188"/>
      <c r="F306" s="188"/>
      <c r="G306" s="187"/>
      <c r="H306" s="187"/>
      <c r="I306" s="187"/>
      <c r="J306" s="187"/>
      <c r="K306" s="162"/>
      <c r="L306" s="162"/>
      <c r="M306" s="187"/>
      <c r="N306" s="187"/>
      <c r="O306" s="189"/>
      <c r="P306" s="190"/>
      <c r="Q306" s="167"/>
      <c r="R306" s="167"/>
      <c r="S306" s="167"/>
    </row>
    <row r="307">
      <c r="A307" s="187"/>
      <c r="B307" s="188"/>
      <c r="C307" s="187"/>
      <c r="D307" s="187"/>
      <c r="E307" s="188"/>
      <c r="F307" s="188"/>
      <c r="G307" s="187"/>
      <c r="H307" s="187"/>
      <c r="I307" s="187"/>
      <c r="J307" s="187"/>
      <c r="K307" s="162"/>
      <c r="L307" s="162"/>
      <c r="M307" s="187"/>
      <c r="N307" s="187"/>
      <c r="O307" s="189"/>
      <c r="P307" s="190"/>
      <c r="Q307" s="167"/>
      <c r="R307" s="167"/>
      <c r="S307" s="167"/>
    </row>
    <row r="308">
      <c r="A308" s="187"/>
      <c r="B308" s="188"/>
      <c r="C308" s="187"/>
      <c r="D308" s="187"/>
      <c r="E308" s="188"/>
      <c r="F308" s="188"/>
      <c r="G308" s="187"/>
      <c r="H308" s="187"/>
      <c r="I308" s="187"/>
      <c r="J308" s="187"/>
      <c r="K308" s="162"/>
      <c r="L308" s="162"/>
      <c r="M308" s="187"/>
      <c r="N308" s="187"/>
      <c r="O308" s="189"/>
      <c r="P308" s="190"/>
      <c r="Q308" s="167"/>
      <c r="R308" s="167"/>
      <c r="S308" s="167"/>
    </row>
    <row r="309">
      <c r="A309" s="187"/>
      <c r="B309" s="188"/>
      <c r="C309" s="187"/>
      <c r="D309" s="187"/>
      <c r="E309" s="188"/>
      <c r="F309" s="188"/>
      <c r="G309" s="187"/>
      <c r="H309" s="187"/>
      <c r="I309" s="187"/>
      <c r="J309" s="187"/>
      <c r="K309" s="162"/>
      <c r="L309" s="162"/>
      <c r="M309" s="187"/>
      <c r="N309" s="187"/>
      <c r="O309" s="189"/>
      <c r="P309" s="206"/>
      <c r="Q309" s="167"/>
      <c r="R309" s="167"/>
      <c r="S309" s="167"/>
    </row>
    <row r="310">
      <c r="A310" s="187"/>
      <c r="B310" s="188"/>
      <c r="C310" s="187"/>
      <c r="D310" s="187"/>
      <c r="E310" s="188"/>
      <c r="F310" s="188"/>
      <c r="G310" s="187"/>
      <c r="H310" s="187"/>
      <c r="I310" s="187"/>
      <c r="J310" s="187"/>
      <c r="K310" s="162"/>
      <c r="L310" s="162"/>
      <c r="M310" s="187"/>
      <c r="N310" s="187"/>
      <c r="O310" s="189"/>
      <c r="P310" s="206"/>
      <c r="Q310" s="167"/>
      <c r="R310" s="167"/>
      <c r="S310" s="167"/>
    </row>
    <row r="311">
      <c r="A311" s="187"/>
      <c r="B311" s="188"/>
      <c r="C311" s="187"/>
      <c r="D311" s="187"/>
      <c r="E311" s="188"/>
      <c r="F311" s="188"/>
      <c r="G311" s="187"/>
      <c r="H311" s="187"/>
      <c r="I311" s="187"/>
      <c r="J311" s="187"/>
      <c r="K311" s="162"/>
      <c r="L311" s="162"/>
      <c r="M311" s="187"/>
      <c r="N311" s="187"/>
      <c r="O311" s="189"/>
      <c r="P311" s="206"/>
      <c r="Q311" s="167"/>
      <c r="R311" s="167"/>
      <c r="S311" s="167"/>
    </row>
    <row r="312">
      <c r="O312" s="207"/>
      <c r="P312" s="206"/>
      <c r="Q312" s="167"/>
      <c r="R312" s="167"/>
      <c r="S312" s="167"/>
    </row>
    <row r="313">
      <c r="O313" s="207"/>
      <c r="P313" s="206"/>
      <c r="Q313" s="167"/>
      <c r="R313" s="167"/>
      <c r="S313" s="167"/>
    </row>
    <row r="314">
      <c r="O314" s="207"/>
      <c r="P314" s="206"/>
      <c r="Q314" s="167"/>
      <c r="R314" s="167"/>
      <c r="S314" s="167"/>
    </row>
    <row r="315">
      <c r="O315" s="207"/>
      <c r="P315" s="206"/>
      <c r="Q315" s="167"/>
      <c r="R315" s="167"/>
      <c r="S315" s="167"/>
    </row>
    <row r="316">
      <c r="O316" s="207"/>
      <c r="P316" s="206"/>
      <c r="Q316" s="167"/>
      <c r="R316" s="167"/>
      <c r="S316" s="167"/>
    </row>
    <row r="317">
      <c r="O317" s="207"/>
      <c r="P317" s="206"/>
      <c r="Q317" s="167"/>
      <c r="R317" s="167"/>
      <c r="S317" s="167"/>
    </row>
    <row r="318">
      <c r="O318" s="207"/>
      <c r="P318" s="206"/>
      <c r="Q318" s="167"/>
      <c r="R318" s="167"/>
      <c r="S318" s="167"/>
    </row>
    <row r="319">
      <c r="O319" s="207"/>
      <c r="P319" s="206"/>
      <c r="Q319" s="167"/>
      <c r="R319" s="167"/>
      <c r="S319" s="167"/>
    </row>
    <row r="320">
      <c r="O320" s="207"/>
      <c r="P320" s="206"/>
      <c r="Q320" s="167"/>
      <c r="R320" s="167"/>
      <c r="S320" s="167"/>
    </row>
    <row r="321">
      <c r="O321" s="207"/>
      <c r="P321" s="206"/>
      <c r="Q321" s="167"/>
      <c r="R321" s="167"/>
      <c r="S321" s="167"/>
    </row>
    <row r="322">
      <c r="O322" s="207"/>
      <c r="P322" s="206"/>
      <c r="Q322" s="167"/>
      <c r="R322" s="167"/>
      <c r="S322" s="167"/>
    </row>
    <row r="323">
      <c r="O323" s="207"/>
      <c r="P323" s="206"/>
      <c r="Q323" s="167"/>
      <c r="R323" s="167"/>
      <c r="S323" s="167"/>
    </row>
    <row r="324">
      <c r="O324" s="207"/>
      <c r="P324" s="206"/>
      <c r="Q324" s="167"/>
      <c r="R324" s="167"/>
      <c r="S324" s="167"/>
    </row>
    <row r="325">
      <c r="O325" s="207"/>
      <c r="P325" s="206"/>
      <c r="Q325" s="167"/>
      <c r="R325" s="167"/>
      <c r="S325" s="167"/>
    </row>
    <row r="326">
      <c r="O326" s="207"/>
      <c r="P326" s="206"/>
      <c r="Q326" s="167"/>
      <c r="R326" s="167"/>
      <c r="S326" s="167"/>
    </row>
    <row r="327">
      <c r="O327" s="207"/>
      <c r="P327" s="206"/>
      <c r="Q327" s="167"/>
      <c r="R327" s="167"/>
      <c r="S327" s="167"/>
    </row>
    <row r="328">
      <c r="O328" s="207"/>
      <c r="P328" s="206"/>
      <c r="Q328" s="167"/>
      <c r="R328" s="167"/>
      <c r="S328" s="167"/>
    </row>
    <row r="329">
      <c r="O329" s="207"/>
      <c r="P329" s="206"/>
      <c r="Q329" s="167"/>
      <c r="R329" s="167"/>
      <c r="S329" s="167"/>
    </row>
    <row r="330">
      <c r="O330" s="207"/>
      <c r="P330" s="206"/>
      <c r="Q330" s="167"/>
      <c r="R330" s="167"/>
      <c r="S330" s="167"/>
    </row>
    <row r="331">
      <c r="O331" s="207"/>
      <c r="P331" s="206"/>
      <c r="Q331" s="167"/>
      <c r="R331" s="167"/>
      <c r="S331" s="167"/>
    </row>
    <row r="332">
      <c r="O332" s="207"/>
      <c r="P332" s="206"/>
      <c r="Q332" s="167"/>
      <c r="R332" s="167"/>
      <c r="S332" s="167"/>
    </row>
    <row r="333">
      <c r="O333" s="207"/>
      <c r="P333" s="206"/>
      <c r="Q333" s="167"/>
      <c r="R333" s="167"/>
      <c r="S333" s="167"/>
    </row>
    <row r="334">
      <c r="O334" s="207"/>
      <c r="P334" s="206"/>
      <c r="Q334" s="167"/>
      <c r="R334" s="167"/>
      <c r="S334" s="167"/>
    </row>
    <row r="335">
      <c r="O335" s="207"/>
      <c r="P335" s="206"/>
      <c r="Q335" s="167"/>
      <c r="R335" s="167"/>
      <c r="S335" s="167"/>
    </row>
    <row r="336">
      <c r="O336" s="207"/>
      <c r="P336" s="206"/>
      <c r="Q336" s="167"/>
      <c r="R336" s="167"/>
      <c r="S336" s="167"/>
    </row>
    <row r="337">
      <c r="O337" s="207"/>
      <c r="P337" s="206"/>
      <c r="Q337" s="167"/>
      <c r="R337" s="167"/>
      <c r="S337" s="167"/>
    </row>
    <row r="338">
      <c r="O338" s="207"/>
      <c r="P338" s="206"/>
      <c r="Q338" s="167"/>
      <c r="R338" s="167"/>
      <c r="S338" s="167"/>
    </row>
    <row r="339">
      <c r="O339" s="207"/>
      <c r="P339" s="206"/>
      <c r="Q339" s="167"/>
      <c r="R339" s="167"/>
      <c r="S339" s="167"/>
    </row>
    <row r="340">
      <c r="O340" s="207"/>
      <c r="P340" s="206"/>
      <c r="Q340" s="167"/>
      <c r="R340" s="167"/>
      <c r="S340" s="167"/>
    </row>
    <row r="341">
      <c r="O341" s="207"/>
      <c r="P341" s="206"/>
      <c r="Q341" s="167"/>
      <c r="R341" s="167"/>
      <c r="S341" s="167"/>
    </row>
    <row r="342">
      <c r="O342" s="207"/>
      <c r="P342" s="206"/>
      <c r="Q342" s="167"/>
      <c r="R342" s="167"/>
      <c r="S342" s="167"/>
    </row>
    <row r="343">
      <c r="O343" s="207"/>
      <c r="P343" s="206"/>
      <c r="Q343" s="167"/>
      <c r="R343" s="167"/>
      <c r="S343" s="167"/>
    </row>
    <row r="344">
      <c r="O344" s="207"/>
      <c r="P344" s="206"/>
      <c r="Q344" s="167"/>
      <c r="R344" s="167"/>
      <c r="S344" s="167"/>
    </row>
    <row r="345">
      <c r="O345" s="207"/>
      <c r="P345" s="206"/>
      <c r="Q345" s="167"/>
      <c r="R345" s="167"/>
      <c r="S345" s="167"/>
    </row>
    <row r="346">
      <c r="O346" s="207"/>
      <c r="P346" s="206"/>
      <c r="Q346" s="167"/>
      <c r="R346" s="167"/>
      <c r="S346" s="167"/>
    </row>
    <row r="347">
      <c r="O347" s="207"/>
      <c r="P347" s="206"/>
      <c r="Q347" s="167"/>
      <c r="R347" s="167"/>
      <c r="S347" s="167"/>
    </row>
    <row r="348">
      <c r="O348" s="207"/>
      <c r="P348" s="206"/>
      <c r="Q348" s="167"/>
      <c r="R348" s="167"/>
      <c r="S348" s="167"/>
    </row>
    <row r="349">
      <c r="O349" s="207"/>
      <c r="P349" s="206"/>
      <c r="Q349" s="167"/>
      <c r="R349" s="167"/>
      <c r="S349" s="167"/>
    </row>
    <row r="350">
      <c r="O350" s="207"/>
      <c r="P350" s="206"/>
      <c r="Q350" s="167"/>
      <c r="R350" s="167"/>
      <c r="S350" s="167"/>
    </row>
    <row r="351">
      <c r="O351" s="207"/>
      <c r="P351" s="206"/>
      <c r="Q351" s="167"/>
      <c r="R351" s="167"/>
      <c r="S351" s="167"/>
    </row>
    <row r="352">
      <c r="O352" s="207"/>
      <c r="P352" s="206"/>
      <c r="Q352" s="167"/>
      <c r="R352" s="167"/>
      <c r="S352" s="167"/>
    </row>
    <row r="353">
      <c r="O353" s="207"/>
      <c r="P353" s="206"/>
      <c r="Q353" s="167"/>
      <c r="R353" s="167"/>
      <c r="S353" s="167"/>
    </row>
    <row r="354">
      <c r="O354" s="207"/>
      <c r="P354" s="206"/>
      <c r="Q354" s="167"/>
      <c r="R354" s="167"/>
      <c r="S354" s="167"/>
    </row>
    <row r="355">
      <c r="O355" s="207"/>
      <c r="P355" s="206"/>
      <c r="Q355" s="167"/>
      <c r="R355" s="167"/>
      <c r="S355" s="167"/>
    </row>
    <row r="356">
      <c r="O356" s="207"/>
      <c r="P356" s="206"/>
      <c r="Q356" s="167"/>
      <c r="R356" s="167"/>
      <c r="S356" s="167"/>
    </row>
    <row r="357">
      <c r="O357" s="207"/>
      <c r="P357" s="206"/>
      <c r="Q357" s="167"/>
      <c r="R357" s="167"/>
      <c r="S357" s="167"/>
    </row>
    <row r="358">
      <c r="O358" s="207"/>
      <c r="P358" s="206"/>
      <c r="Q358" s="167"/>
      <c r="R358" s="167"/>
      <c r="S358" s="167"/>
    </row>
    <row r="359">
      <c r="O359" s="207"/>
      <c r="P359" s="206"/>
      <c r="Q359" s="167"/>
      <c r="R359" s="167"/>
      <c r="S359" s="167"/>
    </row>
    <row r="360">
      <c r="O360" s="207"/>
      <c r="P360" s="206"/>
      <c r="Q360" s="167"/>
      <c r="R360" s="167"/>
      <c r="S360" s="167"/>
    </row>
    <row r="361">
      <c r="O361" s="207"/>
      <c r="P361" s="206"/>
      <c r="Q361" s="167"/>
      <c r="R361" s="167"/>
      <c r="S361" s="167"/>
    </row>
    <row r="362">
      <c r="O362" s="207"/>
      <c r="P362" s="206"/>
      <c r="Q362" s="167"/>
      <c r="R362" s="167"/>
      <c r="S362" s="167"/>
    </row>
    <row r="363">
      <c r="O363" s="207"/>
      <c r="P363" s="206"/>
      <c r="Q363" s="167"/>
      <c r="R363" s="167"/>
      <c r="S363" s="167"/>
    </row>
    <row r="364">
      <c r="O364" s="207"/>
      <c r="P364" s="206"/>
      <c r="Q364" s="167"/>
      <c r="R364" s="167"/>
      <c r="S364" s="167"/>
    </row>
    <row r="365">
      <c r="O365" s="207"/>
      <c r="P365" s="206"/>
      <c r="Q365" s="167"/>
      <c r="R365" s="167"/>
      <c r="S365" s="167"/>
    </row>
    <row r="366">
      <c r="O366" s="207"/>
      <c r="P366" s="206"/>
      <c r="Q366" s="167"/>
      <c r="R366" s="167"/>
      <c r="S366" s="167"/>
    </row>
    <row r="367">
      <c r="O367" s="207"/>
      <c r="P367" s="206"/>
      <c r="Q367" s="167"/>
      <c r="R367" s="167"/>
      <c r="S367" s="167"/>
    </row>
    <row r="368">
      <c r="O368" s="207"/>
      <c r="P368" s="206"/>
      <c r="Q368" s="167"/>
      <c r="R368" s="167"/>
      <c r="S368" s="167"/>
    </row>
    <row r="369">
      <c r="O369" s="207"/>
      <c r="P369" s="206"/>
      <c r="Q369" s="167"/>
      <c r="R369" s="167"/>
      <c r="S369" s="167"/>
    </row>
    <row r="370">
      <c r="O370" s="207"/>
      <c r="P370" s="206"/>
      <c r="Q370" s="167"/>
      <c r="R370" s="167"/>
      <c r="S370" s="167"/>
    </row>
    <row r="371">
      <c r="O371" s="207"/>
      <c r="P371" s="206"/>
      <c r="Q371" s="167"/>
      <c r="R371" s="167"/>
      <c r="S371" s="167"/>
    </row>
    <row r="372">
      <c r="O372" s="207"/>
      <c r="P372" s="206"/>
      <c r="Q372" s="167"/>
      <c r="R372" s="167"/>
      <c r="S372" s="167"/>
    </row>
    <row r="373">
      <c r="O373" s="207"/>
      <c r="P373" s="206"/>
      <c r="Q373" s="167"/>
      <c r="R373" s="167"/>
      <c r="S373" s="167"/>
    </row>
    <row r="374">
      <c r="O374" s="207"/>
      <c r="P374" s="206"/>
      <c r="Q374" s="167"/>
      <c r="R374" s="167"/>
      <c r="S374" s="167"/>
    </row>
    <row r="375">
      <c r="O375" s="207"/>
      <c r="P375" s="206"/>
      <c r="Q375" s="167"/>
      <c r="R375" s="167"/>
      <c r="S375" s="167"/>
    </row>
    <row r="376">
      <c r="O376" s="207"/>
      <c r="P376" s="206"/>
      <c r="Q376" s="167"/>
      <c r="R376" s="167"/>
      <c r="S376" s="167"/>
    </row>
    <row r="377">
      <c r="O377" s="207"/>
      <c r="P377" s="206"/>
      <c r="Q377" s="167"/>
      <c r="R377" s="167"/>
      <c r="S377" s="167"/>
    </row>
    <row r="378">
      <c r="O378" s="207"/>
      <c r="P378" s="206"/>
      <c r="Q378" s="167"/>
      <c r="R378" s="167"/>
      <c r="S378" s="167"/>
    </row>
    <row r="379">
      <c r="O379" s="207"/>
      <c r="P379" s="206"/>
      <c r="Q379" s="167"/>
      <c r="R379" s="167"/>
      <c r="S379" s="167"/>
    </row>
    <row r="380">
      <c r="O380" s="207"/>
      <c r="P380" s="206"/>
      <c r="Q380" s="167"/>
      <c r="R380" s="167"/>
      <c r="S380" s="167"/>
    </row>
    <row r="381">
      <c r="O381" s="207"/>
      <c r="P381" s="206"/>
      <c r="Q381" s="167"/>
      <c r="R381" s="167"/>
      <c r="S381" s="167"/>
    </row>
    <row r="382">
      <c r="O382" s="207"/>
      <c r="P382" s="206"/>
      <c r="Q382" s="167"/>
      <c r="R382" s="167"/>
      <c r="S382" s="167"/>
    </row>
    <row r="383">
      <c r="O383" s="207"/>
      <c r="P383" s="206"/>
      <c r="Q383" s="167"/>
      <c r="R383" s="167"/>
      <c r="S383" s="167"/>
    </row>
    <row r="384">
      <c r="O384" s="207"/>
      <c r="P384" s="206"/>
      <c r="Q384" s="167"/>
      <c r="R384" s="167"/>
      <c r="S384" s="167"/>
    </row>
    <row r="385">
      <c r="O385" s="207"/>
      <c r="P385" s="206"/>
      <c r="Q385" s="167"/>
      <c r="R385" s="167"/>
      <c r="S385" s="167"/>
    </row>
    <row r="386">
      <c r="O386" s="207"/>
      <c r="P386" s="206"/>
      <c r="Q386" s="167"/>
      <c r="R386" s="167"/>
      <c r="S386" s="167"/>
    </row>
    <row r="387">
      <c r="O387" s="207"/>
      <c r="P387" s="206"/>
      <c r="Q387" s="167"/>
      <c r="R387" s="167"/>
      <c r="S387" s="167"/>
    </row>
    <row r="388">
      <c r="O388" s="207"/>
      <c r="P388" s="206"/>
      <c r="Q388" s="167"/>
      <c r="R388" s="167"/>
      <c r="S388" s="167"/>
    </row>
    <row r="389">
      <c r="O389" s="207"/>
      <c r="P389" s="206"/>
      <c r="Q389" s="167"/>
      <c r="R389" s="167"/>
      <c r="S389" s="167"/>
    </row>
    <row r="390">
      <c r="O390" s="207"/>
      <c r="P390" s="206"/>
      <c r="Q390" s="167"/>
      <c r="R390" s="167"/>
      <c r="S390" s="167"/>
    </row>
    <row r="391">
      <c r="O391" s="207"/>
      <c r="P391" s="206"/>
      <c r="Q391" s="167"/>
      <c r="R391" s="167"/>
      <c r="S391" s="167"/>
    </row>
    <row r="392">
      <c r="O392" s="207"/>
      <c r="P392" s="206"/>
      <c r="Q392" s="167"/>
      <c r="R392" s="167"/>
      <c r="S392" s="167"/>
    </row>
    <row r="393">
      <c r="O393" s="207"/>
      <c r="P393" s="206"/>
      <c r="Q393" s="167"/>
      <c r="R393" s="167"/>
      <c r="S393" s="167"/>
    </row>
    <row r="394">
      <c r="O394" s="207"/>
      <c r="P394" s="206"/>
      <c r="Q394" s="167"/>
      <c r="R394" s="167"/>
      <c r="S394" s="167"/>
    </row>
    <row r="395">
      <c r="O395" s="207"/>
      <c r="P395" s="206"/>
      <c r="Q395" s="167"/>
      <c r="R395" s="167"/>
      <c r="S395" s="167"/>
    </row>
    <row r="396">
      <c r="O396" s="207"/>
      <c r="P396" s="206"/>
      <c r="Q396" s="167"/>
      <c r="R396" s="167"/>
      <c r="S396" s="167"/>
    </row>
    <row r="397">
      <c r="O397" s="207"/>
      <c r="P397" s="206"/>
      <c r="Q397" s="167"/>
      <c r="R397" s="167"/>
      <c r="S397" s="167"/>
    </row>
    <row r="398">
      <c r="O398" s="207"/>
      <c r="P398" s="206"/>
      <c r="Q398" s="167"/>
      <c r="R398" s="167"/>
      <c r="S398" s="167"/>
    </row>
    <row r="399">
      <c r="O399" s="207"/>
      <c r="P399" s="206"/>
      <c r="Q399" s="167"/>
      <c r="R399" s="167"/>
      <c r="S399" s="167"/>
    </row>
    <row r="400">
      <c r="O400" s="207"/>
      <c r="P400" s="206"/>
      <c r="Q400" s="167"/>
      <c r="R400" s="167"/>
      <c r="S400" s="167"/>
    </row>
    <row r="401">
      <c r="O401" s="207"/>
      <c r="P401" s="206"/>
      <c r="Q401" s="167"/>
      <c r="R401" s="167"/>
      <c r="S401" s="167"/>
    </row>
    <row r="402">
      <c r="O402" s="207"/>
      <c r="P402" s="206"/>
      <c r="Q402" s="167"/>
      <c r="R402" s="167"/>
      <c r="S402" s="167"/>
    </row>
    <row r="403">
      <c r="O403" s="207"/>
      <c r="P403" s="206"/>
      <c r="Q403" s="167"/>
      <c r="R403" s="167"/>
      <c r="S403" s="167"/>
    </row>
    <row r="404">
      <c r="O404" s="207"/>
      <c r="P404" s="206"/>
      <c r="Q404" s="167"/>
      <c r="R404" s="167"/>
      <c r="S404" s="167"/>
    </row>
    <row r="405">
      <c r="O405" s="207"/>
      <c r="P405" s="206"/>
      <c r="Q405" s="167"/>
      <c r="R405" s="167"/>
      <c r="S405" s="167"/>
    </row>
    <row r="406">
      <c r="O406" s="207"/>
      <c r="P406" s="206"/>
      <c r="Q406" s="167"/>
      <c r="R406" s="167"/>
      <c r="S406" s="167"/>
    </row>
    <row r="407">
      <c r="O407" s="207"/>
      <c r="P407" s="206"/>
      <c r="Q407" s="167"/>
      <c r="R407" s="167"/>
      <c r="S407" s="167"/>
    </row>
    <row r="408">
      <c r="O408" s="207"/>
      <c r="P408" s="206"/>
      <c r="Q408" s="167"/>
      <c r="R408" s="167"/>
      <c r="S408" s="167"/>
    </row>
    <row r="409">
      <c r="O409" s="207"/>
      <c r="P409" s="206"/>
      <c r="Q409" s="167"/>
      <c r="R409" s="167"/>
      <c r="S409" s="167"/>
    </row>
    <row r="410">
      <c r="O410" s="207"/>
      <c r="P410" s="206"/>
      <c r="Q410" s="167"/>
      <c r="R410" s="167"/>
      <c r="S410" s="167"/>
    </row>
    <row r="411">
      <c r="O411" s="207"/>
      <c r="P411" s="206"/>
      <c r="Q411" s="167"/>
      <c r="R411" s="167"/>
      <c r="S411" s="167"/>
    </row>
    <row r="412">
      <c r="O412" s="207"/>
      <c r="P412" s="206"/>
      <c r="Q412" s="167"/>
      <c r="R412" s="167"/>
      <c r="S412" s="167"/>
    </row>
    <row r="413">
      <c r="O413" s="207"/>
      <c r="P413" s="206"/>
      <c r="Q413" s="167"/>
      <c r="R413" s="167"/>
      <c r="S413" s="167"/>
    </row>
    <row r="414">
      <c r="O414" s="207"/>
      <c r="P414" s="206"/>
      <c r="Q414" s="167"/>
      <c r="R414" s="167"/>
      <c r="S414" s="167"/>
    </row>
    <row r="415">
      <c r="O415" s="207"/>
      <c r="P415" s="206"/>
      <c r="Q415" s="167"/>
      <c r="R415" s="167"/>
      <c r="S415" s="167"/>
    </row>
    <row r="416">
      <c r="O416" s="207"/>
      <c r="P416" s="206"/>
      <c r="Q416" s="167"/>
      <c r="R416" s="167"/>
      <c r="S416" s="167"/>
    </row>
    <row r="417">
      <c r="O417" s="207"/>
      <c r="P417" s="206"/>
      <c r="Q417" s="167"/>
      <c r="R417" s="167"/>
      <c r="S417" s="167"/>
    </row>
    <row r="418">
      <c r="O418" s="207"/>
      <c r="P418" s="206"/>
      <c r="Q418" s="167"/>
      <c r="R418" s="167"/>
      <c r="S418" s="167"/>
    </row>
    <row r="419">
      <c r="O419" s="207"/>
      <c r="P419" s="206"/>
      <c r="Q419" s="167"/>
      <c r="R419" s="167"/>
      <c r="S419" s="167"/>
    </row>
    <row r="420">
      <c r="O420" s="207"/>
      <c r="P420" s="206"/>
      <c r="Q420" s="167"/>
      <c r="R420" s="167"/>
      <c r="S420" s="167"/>
    </row>
    <row r="421">
      <c r="O421" s="207"/>
      <c r="P421" s="206"/>
      <c r="Q421" s="167"/>
      <c r="R421" s="167"/>
      <c r="S421" s="167"/>
    </row>
    <row r="422">
      <c r="O422" s="207"/>
      <c r="P422" s="206"/>
      <c r="Q422" s="167"/>
      <c r="R422" s="167"/>
      <c r="S422" s="167"/>
    </row>
    <row r="423">
      <c r="O423" s="207"/>
      <c r="P423" s="206"/>
      <c r="Q423" s="167"/>
      <c r="R423" s="167"/>
      <c r="S423" s="167"/>
    </row>
    <row r="424">
      <c r="O424" s="207"/>
      <c r="P424" s="206"/>
      <c r="Q424" s="167"/>
      <c r="R424" s="167"/>
      <c r="S424" s="167"/>
    </row>
    <row r="425">
      <c r="O425" s="207"/>
      <c r="P425" s="206"/>
      <c r="Q425" s="167"/>
      <c r="R425" s="167"/>
      <c r="S425" s="167"/>
    </row>
    <row r="426">
      <c r="O426" s="207"/>
      <c r="P426" s="206"/>
      <c r="Q426" s="167"/>
      <c r="R426" s="167"/>
      <c r="S426" s="167"/>
    </row>
    <row r="427">
      <c r="O427" s="207"/>
      <c r="P427" s="206"/>
      <c r="Q427" s="167"/>
      <c r="R427" s="167"/>
      <c r="S427" s="167"/>
    </row>
    <row r="428">
      <c r="O428" s="207"/>
      <c r="P428" s="206"/>
      <c r="Q428" s="167"/>
      <c r="R428" s="167"/>
      <c r="S428" s="167"/>
    </row>
    <row r="429">
      <c r="O429" s="207"/>
      <c r="P429" s="206"/>
      <c r="Q429" s="167"/>
      <c r="R429" s="167"/>
      <c r="S429" s="167"/>
    </row>
    <row r="430">
      <c r="O430" s="207"/>
      <c r="P430" s="206"/>
      <c r="Q430" s="167"/>
      <c r="R430" s="167"/>
      <c r="S430" s="167"/>
    </row>
    <row r="431">
      <c r="O431" s="207"/>
      <c r="P431" s="206"/>
      <c r="Q431" s="167"/>
      <c r="R431" s="167"/>
      <c r="S431" s="167"/>
    </row>
    <row r="432">
      <c r="O432" s="207"/>
      <c r="P432" s="206"/>
      <c r="Q432" s="167"/>
      <c r="R432" s="167"/>
      <c r="S432" s="167"/>
    </row>
    <row r="433">
      <c r="O433" s="207"/>
      <c r="P433" s="206"/>
      <c r="Q433" s="167"/>
      <c r="R433" s="167"/>
      <c r="S433" s="167"/>
    </row>
    <row r="434">
      <c r="O434" s="207"/>
      <c r="P434" s="206"/>
      <c r="Q434" s="167"/>
      <c r="R434" s="167"/>
      <c r="S434" s="167"/>
    </row>
    <row r="435">
      <c r="O435" s="207"/>
      <c r="P435" s="206"/>
      <c r="Q435" s="167"/>
      <c r="R435" s="167"/>
      <c r="S435" s="167"/>
    </row>
    <row r="436">
      <c r="O436" s="207"/>
      <c r="P436" s="206"/>
      <c r="Q436" s="167"/>
      <c r="R436" s="167"/>
      <c r="S436" s="167"/>
    </row>
    <row r="437">
      <c r="O437" s="207"/>
      <c r="P437" s="206"/>
      <c r="Q437" s="167"/>
      <c r="R437" s="167"/>
      <c r="S437" s="167"/>
    </row>
    <row r="438">
      <c r="O438" s="207"/>
      <c r="P438" s="206"/>
      <c r="Q438" s="167"/>
      <c r="R438" s="167"/>
      <c r="S438" s="167"/>
    </row>
    <row r="439">
      <c r="O439" s="207"/>
      <c r="P439" s="206"/>
      <c r="Q439" s="167"/>
      <c r="R439" s="167"/>
      <c r="S439" s="167"/>
    </row>
    <row r="440">
      <c r="O440" s="207"/>
      <c r="P440" s="206"/>
      <c r="Q440" s="167"/>
      <c r="R440" s="167"/>
      <c r="S440" s="167"/>
    </row>
    <row r="441">
      <c r="O441" s="207"/>
      <c r="P441" s="206"/>
      <c r="Q441" s="167"/>
      <c r="R441" s="167"/>
      <c r="S441" s="167"/>
    </row>
    <row r="442">
      <c r="O442" s="207"/>
      <c r="P442" s="206"/>
      <c r="Q442" s="167"/>
      <c r="R442" s="167"/>
      <c r="S442" s="167"/>
    </row>
    <row r="443">
      <c r="O443" s="207"/>
      <c r="P443" s="206"/>
      <c r="Q443" s="167"/>
      <c r="R443" s="167"/>
      <c r="S443" s="167"/>
    </row>
    <row r="444">
      <c r="O444" s="207"/>
      <c r="P444" s="206"/>
      <c r="Q444" s="167"/>
      <c r="R444" s="167"/>
      <c r="S444" s="167"/>
    </row>
    <row r="445">
      <c r="O445" s="207"/>
      <c r="P445" s="206"/>
      <c r="Q445" s="167"/>
      <c r="R445" s="167"/>
      <c r="S445" s="167"/>
    </row>
    <row r="446">
      <c r="O446" s="207"/>
      <c r="P446" s="206"/>
      <c r="Q446" s="167"/>
      <c r="R446" s="167"/>
      <c r="S446" s="167"/>
    </row>
    <row r="447">
      <c r="O447" s="207"/>
      <c r="P447" s="206"/>
      <c r="Q447" s="167"/>
      <c r="R447" s="167"/>
      <c r="S447" s="167"/>
    </row>
    <row r="448">
      <c r="O448" s="207"/>
      <c r="P448" s="206"/>
      <c r="Q448" s="167"/>
      <c r="R448" s="167"/>
      <c r="S448" s="167"/>
    </row>
    <row r="449">
      <c r="O449" s="207"/>
      <c r="P449" s="206"/>
      <c r="Q449" s="167"/>
      <c r="R449" s="167"/>
      <c r="S449" s="167"/>
    </row>
    <row r="450">
      <c r="O450" s="207"/>
      <c r="P450" s="206"/>
      <c r="Q450" s="167"/>
      <c r="R450" s="167"/>
      <c r="S450" s="167"/>
    </row>
    <row r="451">
      <c r="O451" s="207"/>
      <c r="P451" s="206"/>
      <c r="Q451" s="167"/>
      <c r="R451" s="167"/>
      <c r="S451" s="167"/>
    </row>
    <row r="452">
      <c r="O452" s="207"/>
      <c r="P452" s="206"/>
      <c r="Q452" s="167"/>
      <c r="R452" s="167"/>
      <c r="S452" s="167"/>
    </row>
    <row r="453">
      <c r="O453" s="207"/>
      <c r="P453" s="206"/>
      <c r="Q453" s="167"/>
      <c r="R453" s="167"/>
      <c r="S453" s="167"/>
    </row>
    <row r="454">
      <c r="O454" s="207"/>
      <c r="P454" s="206"/>
      <c r="Q454" s="167"/>
      <c r="R454" s="167"/>
      <c r="S454" s="167"/>
    </row>
    <row r="455">
      <c r="O455" s="207"/>
      <c r="P455" s="206"/>
      <c r="Q455" s="167"/>
      <c r="R455" s="167"/>
      <c r="S455" s="167"/>
    </row>
    <row r="456">
      <c r="O456" s="207"/>
      <c r="P456" s="206"/>
      <c r="Q456" s="167"/>
      <c r="R456" s="167"/>
      <c r="S456" s="167"/>
    </row>
    <row r="457">
      <c r="O457" s="207"/>
      <c r="P457" s="206"/>
      <c r="Q457" s="167"/>
      <c r="R457" s="167"/>
      <c r="S457" s="167"/>
    </row>
    <row r="458">
      <c r="O458" s="207"/>
      <c r="P458" s="206"/>
      <c r="Q458" s="167"/>
      <c r="R458" s="167"/>
      <c r="S458" s="167"/>
    </row>
    <row r="459">
      <c r="O459" s="207"/>
      <c r="P459" s="206"/>
      <c r="Q459" s="167"/>
      <c r="R459" s="167"/>
      <c r="S459" s="167"/>
    </row>
    <row r="460">
      <c r="O460" s="207"/>
      <c r="P460" s="206"/>
      <c r="Q460" s="167"/>
      <c r="R460" s="167"/>
      <c r="S460" s="167"/>
    </row>
    <row r="461">
      <c r="O461" s="207"/>
      <c r="P461" s="206"/>
      <c r="Q461" s="167"/>
      <c r="R461" s="167"/>
      <c r="S461" s="167"/>
    </row>
    <row r="462">
      <c r="O462" s="207"/>
      <c r="P462" s="206"/>
      <c r="Q462" s="167"/>
      <c r="R462" s="167"/>
      <c r="S462" s="167"/>
    </row>
    <row r="463">
      <c r="O463" s="207"/>
      <c r="P463" s="206"/>
      <c r="Q463" s="167"/>
      <c r="R463" s="167"/>
      <c r="S463" s="167"/>
    </row>
    <row r="464">
      <c r="O464" s="207"/>
      <c r="P464" s="206"/>
      <c r="Q464" s="167"/>
      <c r="R464" s="167"/>
      <c r="S464" s="167"/>
    </row>
    <row r="465">
      <c r="O465" s="207"/>
      <c r="P465" s="206"/>
      <c r="Q465" s="167"/>
      <c r="R465" s="167"/>
      <c r="S465" s="167"/>
    </row>
    <row r="466">
      <c r="O466" s="207"/>
      <c r="P466" s="206"/>
      <c r="Q466" s="167"/>
      <c r="R466" s="167"/>
      <c r="S466" s="167"/>
    </row>
    <row r="467">
      <c r="O467" s="207"/>
      <c r="P467" s="206"/>
      <c r="Q467" s="167"/>
      <c r="R467" s="167"/>
      <c r="S467" s="167"/>
    </row>
    <row r="468">
      <c r="O468" s="207"/>
      <c r="P468" s="206"/>
      <c r="Q468" s="167"/>
      <c r="R468" s="167"/>
      <c r="S468" s="167"/>
    </row>
    <row r="469">
      <c r="O469" s="207"/>
      <c r="P469" s="206"/>
      <c r="Q469" s="167"/>
      <c r="R469" s="167"/>
      <c r="S469" s="167"/>
    </row>
    <row r="470">
      <c r="O470" s="207"/>
      <c r="P470" s="206"/>
      <c r="Q470" s="167"/>
      <c r="R470" s="167"/>
      <c r="S470" s="167"/>
    </row>
    <row r="471">
      <c r="O471" s="207"/>
      <c r="P471" s="206"/>
      <c r="Q471" s="167"/>
      <c r="R471" s="167"/>
      <c r="S471" s="167"/>
    </row>
    <row r="472">
      <c r="O472" s="207"/>
      <c r="P472" s="206"/>
      <c r="Q472" s="167"/>
      <c r="R472" s="167"/>
      <c r="S472" s="167"/>
    </row>
    <row r="473">
      <c r="O473" s="207"/>
      <c r="P473" s="206"/>
      <c r="Q473" s="167"/>
      <c r="R473" s="167"/>
      <c r="S473" s="167"/>
    </row>
    <row r="474">
      <c r="O474" s="207"/>
      <c r="P474" s="206"/>
      <c r="Q474" s="167"/>
      <c r="R474" s="167"/>
      <c r="S474" s="167"/>
    </row>
    <row r="475">
      <c r="O475" s="207"/>
      <c r="P475" s="206"/>
      <c r="Q475" s="167"/>
      <c r="R475" s="167"/>
      <c r="S475" s="167"/>
    </row>
    <row r="476">
      <c r="O476" s="207"/>
      <c r="P476" s="206"/>
      <c r="Q476" s="167"/>
      <c r="R476" s="167"/>
      <c r="S476" s="167"/>
    </row>
    <row r="477">
      <c r="O477" s="207"/>
      <c r="P477" s="206"/>
      <c r="Q477" s="167"/>
      <c r="R477" s="167"/>
      <c r="S477" s="167"/>
    </row>
    <row r="478">
      <c r="O478" s="207"/>
      <c r="P478" s="206"/>
      <c r="Q478" s="167"/>
      <c r="R478" s="167"/>
      <c r="S478" s="167"/>
    </row>
    <row r="479">
      <c r="O479" s="207"/>
      <c r="P479" s="206"/>
      <c r="Q479" s="167"/>
      <c r="R479" s="167"/>
      <c r="S479" s="167"/>
    </row>
    <row r="480">
      <c r="O480" s="207"/>
      <c r="P480" s="206"/>
      <c r="Q480" s="167"/>
      <c r="R480" s="167"/>
      <c r="S480" s="167"/>
    </row>
    <row r="481">
      <c r="O481" s="207"/>
      <c r="P481" s="206"/>
      <c r="Q481" s="167"/>
      <c r="R481" s="167"/>
      <c r="S481" s="167"/>
    </row>
    <row r="482">
      <c r="O482" s="207"/>
      <c r="P482" s="206"/>
      <c r="Q482" s="167"/>
      <c r="R482" s="167"/>
      <c r="S482" s="167"/>
    </row>
    <row r="483">
      <c r="O483" s="207"/>
      <c r="P483" s="206"/>
      <c r="Q483" s="167"/>
      <c r="R483" s="167"/>
      <c r="S483" s="167"/>
    </row>
    <row r="484">
      <c r="O484" s="207"/>
      <c r="P484" s="206"/>
      <c r="Q484" s="167"/>
      <c r="R484" s="167"/>
      <c r="S484" s="167"/>
    </row>
    <row r="485">
      <c r="O485" s="207"/>
      <c r="P485" s="206"/>
      <c r="Q485" s="167"/>
      <c r="R485" s="167"/>
      <c r="S485" s="167"/>
    </row>
    <row r="486">
      <c r="O486" s="207"/>
      <c r="P486" s="206"/>
      <c r="Q486" s="167"/>
      <c r="R486" s="167"/>
      <c r="S486" s="167"/>
    </row>
    <row r="487">
      <c r="O487" s="207"/>
      <c r="P487" s="206"/>
      <c r="Q487" s="167"/>
      <c r="R487" s="167"/>
      <c r="S487" s="167"/>
    </row>
    <row r="488">
      <c r="O488" s="207"/>
      <c r="P488" s="206"/>
      <c r="Q488" s="167"/>
      <c r="R488" s="167"/>
      <c r="S488" s="167"/>
    </row>
    <row r="489">
      <c r="O489" s="207"/>
      <c r="P489" s="206"/>
      <c r="Q489" s="167"/>
      <c r="R489" s="167"/>
      <c r="S489" s="167"/>
    </row>
    <row r="490">
      <c r="O490" s="207"/>
      <c r="P490" s="206"/>
      <c r="Q490" s="167"/>
      <c r="R490" s="167"/>
      <c r="S490" s="167"/>
    </row>
    <row r="491">
      <c r="O491" s="207"/>
      <c r="P491" s="206"/>
      <c r="Q491" s="167"/>
      <c r="R491" s="167"/>
      <c r="S491" s="167"/>
    </row>
    <row r="492">
      <c r="O492" s="207"/>
      <c r="P492" s="206"/>
      <c r="Q492" s="167"/>
      <c r="R492" s="167"/>
      <c r="S492" s="167"/>
    </row>
    <row r="493">
      <c r="O493" s="207"/>
      <c r="P493" s="206"/>
      <c r="Q493" s="167"/>
      <c r="R493" s="167"/>
      <c r="S493" s="167"/>
    </row>
    <row r="494">
      <c r="O494" s="207"/>
      <c r="P494" s="206"/>
      <c r="Q494" s="167"/>
      <c r="R494" s="167"/>
      <c r="S494" s="167"/>
    </row>
    <row r="495">
      <c r="O495" s="207"/>
      <c r="P495" s="206"/>
      <c r="Q495" s="167"/>
      <c r="R495" s="167"/>
      <c r="S495" s="167"/>
    </row>
    <row r="496">
      <c r="O496" s="207"/>
      <c r="P496" s="206"/>
      <c r="Q496" s="167"/>
      <c r="R496" s="167"/>
      <c r="S496" s="167"/>
    </row>
    <row r="497">
      <c r="O497" s="207"/>
      <c r="P497" s="206"/>
      <c r="Q497" s="167"/>
      <c r="R497" s="167"/>
      <c r="S497" s="167"/>
    </row>
    <row r="498">
      <c r="O498" s="207"/>
      <c r="P498" s="206"/>
      <c r="Q498" s="167"/>
      <c r="R498" s="167"/>
      <c r="S498" s="167"/>
    </row>
    <row r="499">
      <c r="O499" s="207"/>
      <c r="P499" s="206"/>
      <c r="Q499" s="167"/>
      <c r="R499" s="167"/>
      <c r="S499" s="167"/>
    </row>
    <row r="500">
      <c r="O500" s="207"/>
      <c r="P500" s="206"/>
      <c r="Q500" s="167"/>
      <c r="R500" s="167"/>
      <c r="S500" s="167"/>
    </row>
    <row r="501">
      <c r="O501" s="207"/>
      <c r="P501" s="206"/>
      <c r="Q501" s="167"/>
      <c r="R501" s="167"/>
      <c r="S501" s="167"/>
    </row>
    <row r="502">
      <c r="O502" s="207"/>
      <c r="P502" s="206"/>
      <c r="Q502" s="167"/>
      <c r="R502" s="167"/>
      <c r="S502" s="167"/>
    </row>
    <row r="503">
      <c r="O503" s="207"/>
      <c r="P503" s="206"/>
      <c r="Q503" s="167"/>
      <c r="R503" s="167"/>
      <c r="S503" s="167"/>
    </row>
    <row r="504">
      <c r="O504" s="207"/>
      <c r="P504" s="206"/>
      <c r="Q504" s="167"/>
      <c r="R504" s="167"/>
      <c r="S504" s="167"/>
    </row>
    <row r="505">
      <c r="O505" s="207"/>
      <c r="P505" s="206"/>
      <c r="Q505" s="167"/>
      <c r="R505" s="167"/>
      <c r="S505" s="167"/>
    </row>
    <row r="506">
      <c r="O506" s="207"/>
      <c r="P506" s="206"/>
      <c r="Q506" s="167"/>
      <c r="R506" s="167"/>
      <c r="S506" s="167"/>
    </row>
    <row r="507">
      <c r="O507" s="207"/>
      <c r="P507" s="206"/>
      <c r="Q507" s="167"/>
      <c r="R507" s="167"/>
      <c r="S507" s="167"/>
    </row>
    <row r="508">
      <c r="O508" s="207"/>
      <c r="P508" s="206"/>
      <c r="Q508" s="167"/>
      <c r="R508" s="167"/>
      <c r="S508" s="167"/>
    </row>
    <row r="509">
      <c r="O509" s="207"/>
      <c r="P509" s="206"/>
      <c r="Q509" s="167"/>
      <c r="R509" s="167"/>
      <c r="S509" s="167"/>
    </row>
    <row r="510">
      <c r="O510" s="207"/>
      <c r="P510" s="206"/>
      <c r="Q510" s="167"/>
      <c r="R510" s="167"/>
      <c r="S510" s="167"/>
    </row>
    <row r="511">
      <c r="O511" s="207"/>
      <c r="P511" s="206"/>
      <c r="Q511" s="167"/>
      <c r="R511" s="167"/>
      <c r="S511" s="167"/>
    </row>
    <row r="512">
      <c r="O512" s="207"/>
      <c r="P512" s="206"/>
      <c r="Q512" s="167"/>
      <c r="R512" s="167"/>
      <c r="S512" s="167"/>
    </row>
    <row r="513">
      <c r="O513" s="207"/>
      <c r="P513" s="206"/>
      <c r="Q513" s="167"/>
      <c r="R513" s="167"/>
      <c r="S513" s="167"/>
    </row>
    <row r="514">
      <c r="O514" s="207"/>
      <c r="P514" s="206"/>
      <c r="Q514" s="167"/>
      <c r="R514" s="167"/>
      <c r="S514" s="167"/>
    </row>
    <row r="515">
      <c r="O515" s="207"/>
      <c r="P515" s="206"/>
      <c r="Q515" s="167"/>
      <c r="R515" s="167"/>
      <c r="S515" s="167"/>
    </row>
    <row r="516">
      <c r="O516" s="207"/>
      <c r="P516" s="206"/>
      <c r="Q516" s="167"/>
      <c r="R516" s="167"/>
      <c r="S516" s="167"/>
    </row>
    <row r="517">
      <c r="O517" s="207"/>
      <c r="P517" s="206"/>
      <c r="Q517" s="167"/>
      <c r="R517" s="167"/>
      <c r="S517" s="167"/>
    </row>
    <row r="518">
      <c r="O518" s="207"/>
      <c r="P518" s="206"/>
      <c r="Q518" s="167"/>
      <c r="R518" s="167"/>
      <c r="S518" s="167"/>
    </row>
    <row r="519">
      <c r="O519" s="207"/>
      <c r="P519" s="206"/>
      <c r="Q519" s="167"/>
      <c r="R519" s="167"/>
      <c r="S519" s="167"/>
    </row>
    <row r="520">
      <c r="O520" s="207"/>
      <c r="P520" s="206"/>
      <c r="Q520" s="167"/>
      <c r="R520" s="167"/>
      <c r="S520" s="167"/>
    </row>
    <row r="521">
      <c r="O521" s="207"/>
      <c r="P521" s="206"/>
      <c r="Q521" s="167"/>
      <c r="R521" s="167"/>
      <c r="S521" s="167"/>
    </row>
    <row r="522">
      <c r="O522" s="207"/>
      <c r="P522" s="206"/>
      <c r="Q522" s="167"/>
      <c r="R522" s="167"/>
      <c r="S522" s="167"/>
    </row>
    <row r="523">
      <c r="O523" s="207"/>
      <c r="P523" s="206"/>
      <c r="Q523" s="167"/>
      <c r="R523" s="167"/>
      <c r="S523" s="167"/>
    </row>
    <row r="524">
      <c r="O524" s="207"/>
      <c r="P524" s="206"/>
      <c r="Q524" s="167"/>
      <c r="R524" s="167"/>
      <c r="S524" s="167"/>
    </row>
    <row r="525">
      <c r="O525" s="207"/>
      <c r="P525" s="206"/>
      <c r="Q525" s="167"/>
      <c r="R525" s="167"/>
      <c r="S525" s="167"/>
    </row>
    <row r="526">
      <c r="O526" s="207"/>
      <c r="P526" s="206"/>
      <c r="Q526" s="167"/>
      <c r="R526" s="167"/>
      <c r="S526" s="167"/>
    </row>
    <row r="527">
      <c r="O527" s="207"/>
      <c r="P527" s="206"/>
      <c r="Q527" s="167"/>
      <c r="R527" s="167"/>
      <c r="S527" s="167"/>
    </row>
    <row r="528">
      <c r="O528" s="207"/>
      <c r="P528" s="206"/>
      <c r="Q528" s="167"/>
      <c r="R528" s="167"/>
      <c r="S528" s="167"/>
    </row>
    <row r="529">
      <c r="O529" s="207"/>
      <c r="P529" s="206"/>
      <c r="Q529" s="167"/>
      <c r="R529" s="167"/>
      <c r="S529" s="167"/>
    </row>
    <row r="530">
      <c r="O530" s="207"/>
      <c r="P530" s="206"/>
      <c r="Q530" s="167"/>
      <c r="R530" s="167"/>
      <c r="S530" s="167"/>
    </row>
    <row r="531">
      <c r="O531" s="207"/>
      <c r="P531" s="206"/>
      <c r="Q531" s="167"/>
      <c r="R531" s="167"/>
      <c r="S531" s="167"/>
    </row>
    <row r="532">
      <c r="O532" s="207"/>
      <c r="P532" s="206"/>
      <c r="Q532" s="167"/>
      <c r="R532" s="167"/>
      <c r="S532" s="167"/>
    </row>
    <row r="533">
      <c r="O533" s="207"/>
      <c r="P533" s="206"/>
      <c r="Q533" s="167"/>
      <c r="R533" s="167"/>
      <c r="S533" s="167"/>
    </row>
    <row r="534">
      <c r="O534" s="207"/>
      <c r="P534" s="206"/>
      <c r="Q534" s="167"/>
      <c r="R534" s="167"/>
      <c r="S534" s="167"/>
    </row>
    <row r="535">
      <c r="O535" s="207"/>
      <c r="P535" s="206"/>
      <c r="Q535" s="167"/>
      <c r="R535" s="167"/>
      <c r="S535" s="167"/>
    </row>
    <row r="536">
      <c r="O536" s="207"/>
      <c r="P536" s="206"/>
      <c r="Q536" s="167"/>
      <c r="R536" s="167"/>
      <c r="S536" s="167"/>
    </row>
    <row r="537">
      <c r="O537" s="207"/>
      <c r="P537" s="206"/>
      <c r="Q537" s="167"/>
      <c r="R537" s="167"/>
      <c r="S537" s="167"/>
    </row>
    <row r="538">
      <c r="O538" s="207"/>
      <c r="P538" s="206"/>
      <c r="Q538" s="167"/>
      <c r="R538" s="167"/>
      <c r="S538" s="167"/>
    </row>
    <row r="539">
      <c r="O539" s="207"/>
      <c r="P539" s="206"/>
      <c r="Q539" s="167"/>
      <c r="R539" s="167"/>
      <c r="S539" s="167"/>
    </row>
    <row r="540">
      <c r="O540" s="207"/>
      <c r="P540" s="206"/>
      <c r="Q540" s="167"/>
      <c r="R540" s="167"/>
      <c r="S540" s="167"/>
    </row>
    <row r="541">
      <c r="O541" s="207"/>
      <c r="P541" s="206"/>
      <c r="Q541" s="167"/>
      <c r="R541" s="167"/>
      <c r="S541" s="167"/>
    </row>
    <row r="542">
      <c r="O542" s="207"/>
      <c r="P542" s="206"/>
      <c r="Q542" s="167"/>
      <c r="R542" s="167"/>
      <c r="S542" s="167"/>
    </row>
    <row r="543">
      <c r="O543" s="207"/>
      <c r="P543" s="206"/>
      <c r="Q543" s="167"/>
      <c r="R543" s="167"/>
      <c r="S543" s="167"/>
    </row>
    <row r="544">
      <c r="O544" s="207"/>
      <c r="P544" s="206"/>
      <c r="Q544" s="167"/>
      <c r="R544" s="167"/>
      <c r="S544" s="167"/>
    </row>
    <row r="545">
      <c r="O545" s="207"/>
      <c r="P545" s="206"/>
      <c r="Q545" s="167"/>
      <c r="R545" s="167"/>
      <c r="S545" s="167"/>
    </row>
    <row r="546">
      <c r="O546" s="207"/>
      <c r="P546" s="206"/>
      <c r="Q546" s="167"/>
      <c r="R546" s="167"/>
      <c r="S546" s="167"/>
    </row>
    <row r="547">
      <c r="O547" s="207"/>
      <c r="P547" s="206"/>
      <c r="Q547" s="167"/>
      <c r="R547" s="167"/>
      <c r="S547" s="167"/>
    </row>
    <row r="548">
      <c r="O548" s="207"/>
      <c r="P548" s="206"/>
      <c r="Q548" s="167"/>
      <c r="R548" s="167"/>
      <c r="S548" s="167"/>
    </row>
    <row r="549">
      <c r="O549" s="207"/>
      <c r="P549" s="206"/>
      <c r="Q549" s="167"/>
      <c r="R549" s="167"/>
      <c r="S549" s="167"/>
    </row>
    <row r="550">
      <c r="O550" s="207"/>
      <c r="P550" s="206"/>
      <c r="Q550" s="167"/>
      <c r="R550" s="167"/>
      <c r="S550" s="167"/>
    </row>
    <row r="551">
      <c r="O551" s="207"/>
      <c r="P551" s="206"/>
      <c r="Q551" s="167"/>
      <c r="R551" s="167"/>
      <c r="S551" s="167"/>
    </row>
    <row r="552">
      <c r="O552" s="207"/>
      <c r="P552" s="206"/>
      <c r="Q552" s="167"/>
      <c r="R552" s="167"/>
      <c r="S552" s="167"/>
    </row>
    <row r="553">
      <c r="O553" s="207"/>
      <c r="P553" s="206"/>
      <c r="Q553" s="167"/>
      <c r="R553" s="167"/>
      <c r="S553" s="167"/>
    </row>
    <row r="554">
      <c r="O554" s="207"/>
      <c r="P554" s="206"/>
      <c r="Q554" s="167"/>
      <c r="R554" s="167"/>
      <c r="S554" s="167"/>
    </row>
    <row r="555">
      <c r="O555" s="207"/>
      <c r="P555" s="206"/>
      <c r="Q555" s="167"/>
      <c r="R555" s="167"/>
      <c r="S555" s="167"/>
    </row>
    <row r="556">
      <c r="O556" s="207"/>
      <c r="P556" s="206"/>
      <c r="Q556" s="167"/>
      <c r="R556" s="167"/>
      <c r="S556" s="167"/>
    </row>
    <row r="557">
      <c r="O557" s="207"/>
      <c r="P557" s="206"/>
      <c r="Q557" s="167"/>
      <c r="R557" s="167"/>
      <c r="S557" s="167"/>
    </row>
    <row r="558">
      <c r="O558" s="207"/>
      <c r="P558" s="206"/>
      <c r="Q558" s="167"/>
      <c r="R558" s="167"/>
      <c r="S558" s="167"/>
    </row>
    <row r="559">
      <c r="O559" s="207"/>
      <c r="P559" s="206"/>
      <c r="Q559" s="167"/>
      <c r="R559" s="167"/>
      <c r="S559" s="167"/>
    </row>
    <row r="560">
      <c r="O560" s="207"/>
      <c r="P560" s="206"/>
      <c r="Q560" s="167"/>
      <c r="R560" s="167"/>
      <c r="S560" s="167"/>
    </row>
    <row r="561">
      <c r="O561" s="207"/>
      <c r="P561" s="206"/>
      <c r="Q561" s="167"/>
      <c r="R561" s="167"/>
      <c r="S561" s="167"/>
    </row>
    <row r="562">
      <c r="O562" s="207"/>
      <c r="P562" s="206"/>
      <c r="Q562" s="167"/>
      <c r="R562" s="167"/>
      <c r="S562" s="167"/>
    </row>
    <row r="563">
      <c r="O563" s="207"/>
      <c r="P563" s="206"/>
      <c r="Q563" s="167"/>
      <c r="R563" s="167"/>
      <c r="S563" s="167"/>
    </row>
    <row r="564">
      <c r="O564" s="207"/>
      <c r="P564" s="206"/>
      <c r="Q564" s="167"/>
      <c r="R564" s="167"/>
      <c r="S564" s="167"/>
    </row>
    <row r="565">
      <c r="O565" s="207"/>
      <c r="P565" s="206"/>
      <c r="Q565" s="167"/>
      <c r="R565" s="167"/>
      <c r="S565" s="167"/>
    </row>
    <row r="566">
      <c r="O566" s="207"/>
      <c r="P566" s="206"/>
      <c r="Q566" s="167"/>
      <c r="R566" s="167"/>
      <c r="S566" s="167"/>
    </row>
    <row r="567">
      <c r="O567" s="207"/>
      <c r="P567" s="206"/>
      <c r="Q567" s="167"/>
      <c r="R567" s="167"/>
      <c r="S567" s="167"/>
    </row>
    <row r="568">
      <c r="O568" s="207"/>
      <c r="P568" s="206"/>
      <c r="Q568" s="167"/>
      <c r="R568" s="167"/>
      <c r="S568" s="167"/>
    </row>
    <row r="569">
      <c r="O569" s="207"/>
      <c r="P569" s="206"/>
      <c r="Q569" s="167"/>
      <c r="R569" s="167"/>
      <c r="S569" s="167"/>
    </row>
    <row r="570">
      <c r="O570" s="207"/>
      <c r="P570" s="206"/>
      <c r="Q570" s="167"/>
      <c r="R570" s="167"/>
      <c r="S570" s="167"/>
    </row>
    <row r="571">
      <c r="O571" s="207"/>
      <c r="P571" s="206"/>
      <c r="Q571" s="167"/>
      <c r="R571" s="167"/>
      <c r="S571" s="167"/>
    </row>
    <row r="572">
      <c r="O572" s="207"/>
      <c r="P572" s="206"/>
      <c r="Q572" s="167"/>
      <c r="R572" s="167"/>
      <c r="S572" s="167"/>
    </row>
    <row r="573">
      <c r="O573" s="207"/>
      <c r="P573" s="206"/>
      <c r="Q573" s="167"/>
      <c r="R573" s="167"/>
      <c r="S573" s="167"/>
    </row>
    <row r="574">
      <c r="O574" s="207"/>
      <c r="P574" s="206"/>
      <c r="Q574" s="167"/>
      <c r="R574" s="167"/>
      <c r="S574" s="167"/>
    </row>
    <row r="575">
      <c r="O575" s="207"/>
      <c r="P575" s="206"/>
      <c r="Q575" s="167"/>
      <c r="R575" s="167"/>
      <c r="S575" s="167"/>
    </row>
    <row r="576">
      <c r="O576" s="207"/>
      <c r="P576" s="206"/>
      <c r="Q576" s="167"/>
      <c r="R576" s="167"/>
      <c r="S576" s="167"/>
    </row>
    <row r="577">
      <c r="O577" s="207"/>
      <c r="P577" s="206"/>
      <c r="Q577" s="167"/>
      <c r="R577" s="167"/>
      <c r="S577" s="167"/>
    </row>
    <row r="578">
      <c r="O578" s="207"/>
      <c r="P578" s="206"/>
      <c r="Q578" s="167"/>
      <c r="R578" s="167"/>
      <c r="S578" s="167"/>
    </row>
    <row r="579">
      <c r="O579" s="207"/>
      <c r="P579" s="206"/>
      <c r="Q579" s="167"/>
      <c r="R579" s="167"/>
      <c r="S579" s="167"/>
    </row>
    <row r="580">
      <c r="O580" s="207"/>
      <c r="P580" s="206"/>
      <c r="Q580" s="167"/>
      <c r="R580" s="167"/>
      <c r="S580" s="167"/>
    </row>
    <row r="581">
      <c r="O581" s="207"/>
      <c r="P581" s="206"/>
      <c r="Q581" s="167"/>
      <c r="R581" s="167"/>
      <c r="S581" s="167"/>
    </row>
    <row r="582">
      <c r="O582" s="207"/>
      <c r="P582" s="206"/>
      <c r="Q582" s="167"/>
      <c r="R582" s="167"/>
      <c r="S582" s="167"/>
    </row>
    <row r="583">
      <c r="O583" s="207"/>
      <c r="P583" s="206"/>
      <c r="Q583" s="167"/>
      <c r="R583" s="167"/>
      <c r="S583" s="167"/>
    </row>
    <row r="584">
      <c r="O584" s="207"/>
      <c r="P584" s="206"/>
      <c r="Q584" s="167"/>
      <c r="R584" s="167"/>
      <c r="S584" s="167"/>
    </row>
    <row r="585">
      <c r="O585" s="207"/>
      <c r="P585" s="206"/>
      <c r="Q585" s="167"/>
      <c r="R585" s="167"/>
      <c r="S585" s="167"/>
    </row>
    <row r="586">
      <c r="O586" s="207"/>
      <c r="P586" s="206"/>
      <c r="Q586" s="167"/>
      <c r="R586" s="167"/>
      <c r="S586" s="167"/>
    </row>
    <row r="587">
      <c r="O587" s="207"/>
      <c r="P587" s="206"/>
      <c r="Q587" s="167"/>
      <c r="R587" s="167"/>
      <c r="S587" s="167"/>
    </row>
    <row r="588">
      <c r="O588" s="207"/>
      <c r="P588" s="206"/>
      <c r="Q588" s="167"/>
      <c r="R588" s="167"/>
      <c r="S588" s="167"/>
    </row>
    <row r="589">
      <c r="O589" s="207"/>
      <c r="P589" s="206"/>
      <c r="Q589" s="167"/>
      <c r="R589" s="167"/>
      <c r="S589" s="167"/>
    </row>
    <row r="590">
      <c r="O590" s="207"/>
      <c r="P590" s="206"/>
      <c r="Q590" s="167"/>
      <c r="R590" s="167"/>
      <c r="S590" s="167"/>
    </row>
    <row r="591">
      <c r="O591" s="207"/>
      <c r="P591" s="206"/>
      <c r="Q591" s="167"/>
      <c r="R591" s="167"/>
      <c r="S591" s="167"/>
    </row>
    <row r="592">
      <c r="O592" s="207"/>
      <c r="P592" s="206"/>
      <c r="Q592" s="167"/>
      <c r="R592" s="167"/>
      <c r="S592" s="167"/>
    </row>
    <row r="593">
      <c r="O593" s="207"/>
      <c r="P593" s="206"/>
      <c r="Q593" s="167"/>
      <c r="R593" s="167"/>
      <c r="S593" s="167"/>
    </row>
    <row r="594">
      <c r="O594" s="207"/>
      <c r="P594" s="206"/>
      <c r="Q594" s="167"/>
      <c r="R594" s="167"/>
      <c r="S594" s="167"/>
    </row>
    <row r="595">
      <c r="O595" s="207"/>
      <c r="P595" s="206"/>
      <c r="Q595" s="167"/>
      <c r="R595" s="167"/>
      <c r="S595" s="167"/>
    </row>
    <row r="596">
      <c r="O596" s="207"/>
      <c r="P596" s="206"/>
      <c r="Q596" s="167"/>
      <c r="R596" s="167"/>
      <c r="S596" s="167"/>
    </row>
    <row r="597">
      <c r="O597" s="207"/>
      <c r="P597" s="206"/>
      <c r="Q597" s="167"/>
      <c r="R597" s="167"/>
      <c r="S597" s="167"/>
    </row>
    <row r="598">
      <c r="O598" s="207"/>
      <c r="P598" s="206"/>
      <c r="Q598" s="167"/>
      <c r="R598" s="167"/>
      <c r="S598" s="167"/>
    </row>
    <row r="599">
      <c r="O599" s="207"/>
      <c r="P599" s="206"/>
      <c r="Q599" s="167"/>
      <c r="R599" s="167"/>
      <c r="S599" s="167"/>
    </row>
    <row r="600">
      <c r="O600" s="207"/>
      <c r="P600" s="206"/>
      <c r="Q600" s="167"/>
      <c r="R600" s="167"/>
      <c r="S600" s="167"/>
    </row>
    <row r="601">
      <c r="O601" s="207"/>
      <c r="P601" s="206"/>
      <c r="Q601" s="167"/>
      <c r="R601" s="167"/>
      <c r="S601" s="167"/>
    </row>
    <row r="602">
      <c r="O602" s="207"/>
      <c r="P602" s="206"/>
      <c r="Q602" s="167"/>
      <c r="R602" s="167"/>
      <c r="S602" s="167"/>
    </row>
    <row r="603">
      <c r="O603" s="207"/>
      <c r="P603" s="206"/>
      <c r="Q603" s="167"/>
      <c r="R603" s="167"/>
      <c r="S603" s="167"/>
    </row>
    <row r="604">
      <c r="O604" s="207"/>
      <c r="P604" s="206"/>
      <c r="Q604" s="167"/>
      <c r="R604" s="167"/>
      <c r="S604" s="167"/>
    </row>
    <row r="605">
      <c r="O605" s="207"/>
      <c r="P605" s="206"/>
      <c r="Q605" s="167"/>
      <c r="R605" s="167"/>
      <c r="S605" s="167"/>
    </row>
    <row r="606">
      <c r="O606" s="207"/>
      <c r="P606" s="206"/>
      <c r="Q606" s="167"/>
      <c r="R606" s="167"/>
      <c r="S606" s="167"/>
    </row>
    <row r="607">
      <c r="O607" s="207"/>
      <c r="P607" s="206"/>
      <c r="Q607" s="167"/>
      <c r="R607" s="167"/>
      <c r="S607" s="167"/>
    </row>
    <row r="608">
      <c r="O608" s="207"/>
      <c r="P608" s="206"/>
      <c r="Q608" s="167"/>
      <c r="R608" s="167"/>
      <c r="S608" s="167"/>
    </row>
    <row r="609">
      <c r="O609" s="207"/>
      <c r="P609" s="206"/>
      <c r="Q609" s="167"/>
      <c r="R609" s="167"/>
      <c r="S609" s="167"/>
    </row>
    <row r="610">
      <c r="O610" s="207"/>
      <c r="P610" s="206"/>
      <c r="Q610" s="167"/>
      <c r="R610" s="167"/>
      <c r="S610" s="167"/>
    </row>
    <row r="611">
      <c r="O611" s="207"/>
      <c r="P611" s="206"/>
      <c r="Q611" s="167"/>
      <c r="R611" s="167"/>
      <c r="S611" s="167"/>
    </row>
    <row r="612">
      <c r="O612" s="207"/>
      <c r="P612" s="206"/>
      <c r="Q612" s="167"/>
      <c r="R612" s="167"/>
      <c r="S612" s="167"/>
    </row>
    <row r="613">
      <c r="O613" s="207"/>
      <c r="P613" s="206"/>
      <c r="Q613" s="167"/>
      <c r="R613" s="167"/>
      <c r="S613" s="167"/>
    </row>
    <row r="614">
      <c r="O614" s="207"/>
      <c r="P614" s="206"/>
      <c r="Q614" s="167"/>
      <c r="R614" s="167"/>
      <c r="S614" s="167"/>
    </row>
    <row r="615">
      <c r="O615" s="207"/>
      <c r="P615" s="206"/>
      <c r="Q615" s="167"/>
      <c r="R615" s="167"/>
      <c r="S615" s="167"/>
    </row>
    <row r="616">
      <c r="O616" s="207"/>
      <c r="P616" s="206"/>
      <c r="Q616" s="167"/>
      <c r="R616" s="167"/>
      <c r="S616" s="167"/>
    </row>
    <row r="617">
      <c r="O617" s="207"/>
      <c r="P617" s="206"/>
      <c r="Q617" s="167"/>
      <c r="R617" s="167"/>
      <c r="S617" s="167"/>
    </row>
    <row r="618">
      <c r="O618" s="207"/>
      <c r="P618" s="206"/>
      <c r="Q618" s="167"/>
      <c r="R618" s="167"/>
      <c r="S618" s="167"/>
    </row>
    <row r="619">
      <c r="O619" s="207"/>
      <c r="P619" s="206"/>
      <c r="Q619" s="167"/>
      <c r="R619" s="167"/>
      <c r="S619" s="167"/>
    </row>
    <row r="620">
      <c r="O620" s="207"/>
      <c r="P620" s="206"/>
      <c r="Q620" s="167"/>
      <c r="R620" s="167"/>
      <c r="S620" s="167"/>
    </row>
    <row r="621">
      <c r="O621" s="207"/>
      <c r="P621" s="206"/>
      <c r="Q621" s="167"/>
      <c r="R621" s="167"/>
      <c r="S621" s="167"/>
    </row>
    <row r="622">
      <c r="O622" s="207"/>
      <c r="P622" s="206"/>
      <c r="Q622" s="167"/>
      <c r="R622" s="167"/>
      <c r="S622" s="167"/>
    </row>
    <row r="623">
      <c r="O623" s="207"/>
      <c r="P623" s="206"/>
      <c r="Q623" s="167"/>
      <c r="R623" s="167"/>
      <c r="S623" s="167"/>
    </row>
    <row r="624">
      <c r="O624" s="207"/>
      <c r="P624" s="206"/>
      <c r="Q624" s="167"/>
      <c r="R624" s="167"/>
      <c r="S624" s="167"/>
    </row>
    <row r="625">
      <c r="O625" s="207"/>
      <c r="P625" s="206"/>
      <c r="Q625" s="167"/>
      <c r="R625" s="167"/>
      <c r="S625" s="167"/>
    </row>
    <row r="626">
      <c r="O626" s="207"/>
      <c r="P626" s="206"/>
      <c r="Q626" s="167"/>
      <c r="R626" s="167"/>
      <c r="S626" s="167"/>
    </row>
    <row r="627">
      <c r="O627" s="207"/>
      <c r="P627" s="206"/>
      <c r="Q627" s="167"/>
      <c r="R627" s="167"/>
      <c r="S627" s="167"/>
    </row>
    <row r="628">
      <c r="O628" s="207"/>
      <c r="P628" s="206"/>
      <c r="Q628" s="167"/>
      <c r="R628" s="167"/>
      <c r="S628" s="167"/>
    </row>
    <row r="629">
      <c r="O629" s="207"/>
      <c r="P629" s="206"/>
      <c r="Q629" s="167"/>
      <c r="R629" s="167"/>
      <c r="S629" s="167"/>
    </row>
    <row r="630">
      <c r="O630" s="207"/>
      <c r="P630" s="206"/>
      <c r="Q630" s="167"/>
      <c r="R630" s="167"/>
      <c r="S630" s="167"/>
    </row>
    <row r="631">
      <c r="O631" s="207"/>
      <c r="P631" s="206"/>
      <c r="Q631" s="167"/>
      <c r="R631" s="167"/>
      <c r="S631" s="167"/>
    </row>
    <row r="632">
      <c r="O632" s="207"/>
      <c r="P632" s="206"/>
      <c r="Q632" s="167"/>
      <c r="R632" s="167"/>
      <c r="S632" s="167"/>
    </row>
    <row r="633">
      <c r="O633" s="207"/>
      <c r="P633" s="206"/>
      <c r="Q633" s="167"/>
      <c r="R633" s="167"/>
      <c r="S633" s="167"/>
    </row>
    <row r="634">
      <c r="O634" s="207"/>
      <c r="P634" s="206"/>
      <c r="Q634" s="167"/>
      <c r="R634" s="167"/>
      <c r="S634" s="167"/>
    </row>
    <row r="635">
      <c r="O635" s="207"/>
      <c r="P635" s="206"/>
      <c r="Q635" s="167"/>
      <c r="R635" s="167"/>
      <c r="S635" s="167"/>
    </row>
    <row r="636">
      <c r="O636" s="207"/>
      <c r="P636" s="206"/>
      <c r="Q636" s="167"/>
      <c r="R636" s="167"/>
      <c r="S636" s="167"/>
    </row>
    <row r="637">
      <c r="O637" s="207"/>
      <c r="P637" s="206"/>
      <c r="Q637" s="167"/>
      <c r="R637" s="167"/>
      <c r="S637" s="167"/>
    </row>
    <row r="638">
      <c r="O638" s="207"/>
      <c r="P638" s="206"/>
      <c r="Q638" s="167"/>
      <c r="R638" s="167"/>
      <c r="S638" s="167"/>
    </row>
    <row r="639">
      <c r="O639" s="207"/>
      <c r="P639" s="206"/>
      <c r="Q639" s="167"/>
      <c r="R639" s="167"/>
      <c r="S639" s="167"/>
    </row>
    <row r="640">
      <c r="O640" s="207"/>
      <c r="P640" s="206"/>
      <c r="Q640" s="167"/>
      <c r="R640" s="167"/>
      <c r="S640" s="167"/>
    </row>
    <row r="641">
      <c r="O641" s="207"/>
      <c r="P641" s="206"/>
      <c r="Q641" s="167"/>
      <c r="R641" s="167"/>
      <c r="S641" s="167"/>
    </row>
    <row r="642">
      <c r="O642" s="207"/>
      <c r="P642" s="206"/>
      <c r="Q642" s="167"/>
      <c r="R642" s="167"/>
      <c r="S642" s="167"/>
    </row>
    <row r="643">
      <c r="O643" s="207"/>
      <c r="P643" s="206"/>
      <c r="Q643" s="167"/>
      <c r="R643" s="167"/>
      <c r="S643" s="167"/>
    </row>
    <row r="644">
      <c r="O644" s="207"/>
      <c r="P644" s="206"/>
      <c r="Q644" s="167"/>
      <c r="R644" s="167"/>
      <c r="S644" s="167"/>
    </row>
    <row r="645">
      <c r="O645" s="207"/>
      <c r="P645" s="206"/>
      <c r="Q645" s="167"/>
      <c r="R645" s="167"/>
      <c r="S645" s="167"/>
    </row>
    <row r="646">
      <c r="O646" s="207"/>
      <c r="P646" s="206"/>
      <c r="Q646" s="167"/>
      <c r="R646" s="167"/>
      <c r="S646" s="167"/>
    </row>
    <row r="647">
      <c r="O647" s="207"/>
      <c r="P647" s="206"/>
      <c r="Q647" s="167"/>
      <c r="R647" s="167"/>
      <c r="S647" s="167"/>
    </row>
    <row r="648">
      <c r="O648" s="207"/>
      <c r="P648" s="206"/>
      <c r="Q648" s="167"/>
      <c r="R648" s="167"/>
      <c r="S648" s="167"/>
    </row>
    <row r="649">
      <c r="O649" s="207"/>
      <c r="P649" s="206"/>
      <c r="Q649" s="167"/>
      <c r="R649" s="167"/>
      <c r="S649" s="167"/>
    </row>
    <row r="650">
      <c r="O650" s="207"/>
      <c r="P650" s="206"/>
      <c r="Q650" s="167"/>
      <c r="R650" s="167"/>
      <c r="S650" s="167"/>
    </row>
    <row r="651">
      <c r="O651" s="207"/>
      <c r="P651" s="206"/>
      <c r="Q651" s="167"/>
      <c r="R651" s="167"/>
      <c r="S651" s="167"/>
    </row>
    <row r="652">
      <c r="O652" s="207"/>
      <c r="P652" s="206"/>
      <c r="Q652" s="167"/>
      <c r="R652" s="167"/>
      <c r="S652" s="167"/>
    </row>
    <row r="653">
      <c r="O653" s="207"/>
      <c r="P653" s="206"/>
      <c r="Q653" s="167"/>
      <c r="R653" s="167"/>
      <c r="S653" s="167"/>
    </row>
    <row r="654">
      <c r="O654" s="207"/>
      <c r="P654" s="206"/>
      <c r="Q654" s="167"/>
      <c r="R654" s="167"/>
      <c r="S654" s="167"/>
    </row>
    <row r="655">
      <c r="O655" s="207"/>
      <c r="P655" s="206"/>
      <c r="Q655" s="167"/>
      <c r="R655" s="167"/>
      <c r="S655" s="167"/>
    </row>
    <row r="656">
      <c r="O656" s="207"/>
      <c r="P656" s="206"/>
      <c r="Q656" s="167"/>
      <c r="R656" s="167"/>
      <c r="S656" s="167"/>
    </row>
    <row r="657">
      <c r="O657" s="207"/>
      <c r="P657" s="206"/>
      <c r="Q657" s="167"/>
      <c r="R657" s="167"/>
      <c r="S657" s="167"/>
    </row>
    <row r="658">
      <c r="O658" s="207"/>
      <c r="P658" s="206"/>
      <c r="Q658" s="167"/>
      <c r="R658" s="167"/>
      <c r="S658" s="167"/>
    </row>
    <row r="659">
      <c r="O659" s="207"/>
      <c r="P659" s="206"/>
      <c r="Q659" s="167"/>
      <c r="R659" s="167"/>
      <c r="S659" s="167"/>
    </row>
    <row r="660">
      <c r="O660" s="207"/>
      <c r="P660" s="206"/>
      <c r="Q660" s="167"/>
      <c r="R660" s="167"/>
      <c r="S660" s="167"/>
    </row>
    <row r="661">
      <c r="O661" s="207"/>
      <c r="P661" s="206"/>
      <c r="Q661" s="167"/>
      <c r="R661" s="167"/>
      <c r="S661" s="167"/>
    </row>
    <row r="662">
      <c r="O662" s="207"/>
      <c r="P662" s="206"/>
      <c r="Q662" s="167"/>
      <c r="R662" s="167"/>
      <c r="S662" s="167"/>
    </row>
    <row r="663">
      <c r="O663" s="207"/>
      <c r="P663" s="206"/>
      <c r="Q663" s="167"/>
      <c r="R663" s="167"/>
      <c r="S663" s="167"/>
    </row>
    <row r="664">
      <c r="O664" s="207"/>
      <c r="P664" s="206"/>
      <c r="Q664" s="167"/>
      <c r="R664" s="167"/>
      <c r="S664" s="167"/>
    </row>
    <row r="665">
      <c r="O665" s="207"/>
      <c r="P665" s="206"/>
      <c r="Q665" s="167"/>
      <c r="R665" s="167"/>
      <c r="S665" s="167"/>
    </row>
    <row r="666">
      <c r="O666" s="207"/>
      <c r="P666" s="206"/>
      <c r="Q666" s="167"/>
      <c r="R666" s="167"/>
      <c r="S666" s="167"/>
    </row>
    <row r="667">
      <c r="O667" s="207"/>
      <c r="P667" s="206"/>
      <c r="Q667" s="167"/>
      <c r="R667" s="167"/>
      <c r="S667" s="167"/>
    </row>
    <row r="668">
      <c r="O668" s="207"/>
      <c r="P668" s="206"/>
      <c r="Q668" s="167"/>
      <c r="R668" s="167"/>
      <c r="S668" s="167"/>
    </row>
    <row r="669">
      <c r="O669" s="207"/>
      <c r="P669" s="206"/>
      <c r="Q669" s="167"/>
      <c r="R669" s="167"/>
      <c r="S669" s="167"/>
    </row>
    <row r="670">
      <c r="O670" s="207"/>
      <c r="P670" s="206"/>
      <c r="Q670" s="167"/>
      <c r="R670" s="167"/>
      <c r="S670" s="167"/>
    </row>
    <row r="671">
      <c r="O671" s="207"/>
      <c r="P671" s="206"/>
      <c r="Q671" s="167"/>
      <c r="R671" s="167"/>
      <c r="S671" s="167"/>
    </row>
    <row r="672">
      <c r="O672" s="207"/>
      <c r="P672" s="206"/>
      <c r="Q672" s="167"/>
      <c r="R672" s="167"/>
      <c r="S672" s="167"/>
    </row>
    <row r="673">
      <c r="O673" s="207"/>
      <c r="P673" s="206"/>
      <c r="Q673" s="167"/>
      <c r="R673" s="167"/>
      <c r="S673" s="167"/>
    </row>
    <row r="674">
      <c r="O674" s="207"/>
      <c r="P674" s="206"/>
      <c r="Q674" s="167"/>
      <c r="R674" s="167"/>
      <c r="S674" s="167"/>
    </row>
    <row r="675">
      <c r="O675" s="207"/>
      <c r="P675" s="206"/>
      <c r="Q675" s="167"/>
      <c r="R675" s="167"/>
      <c r="S675" s="167"/>
    </row>
    <row r="676">
      <c r="O676" s="207"/>
      <c r="P676" s="206"/>
      <c r="Q676" s="167"/>
      <c r="R676" s="167"/>
      <c r="S676" s="167"/>
    </row>
    <row r="677">
      <c r="O677" s="207"/>
      <c r="P677" s="206"/>
      <c r="Q677" s="167"/>
      <c r="R677" s="167"/>
      <c r="S677" s="167"/>
    </row>
    <row r="678">
      <c r="O678" s="207"/>
      <c r="P678" s="206"/>
      <c r="Q678" s="167"/>
      <c r="R678" s="167"/>
      <c r="S678" s="167"/>
    </row>
    <row r="679">
      <c r="O679" s="207"/>
      <c r="P679" s="206"/>
      <c r="Q679" s="167"/>
      <c r="R679" s="167"/>
      <c r="S679" s="167"/>
    </row>
    <row r="680">
      <c r="O680" s="207"/>
      <c r="P680" s="206"/>
      <c r="Q680" s="167"/>
      <c r="R680" s="167"/>
      <c r="S680" s="167"/>
    </row>
    <row r="681">
      <c r="O681" s="207"/>
      <c r="P681" s="206"/>
      <c r="Q681" s="167"/>
      <c r="R681" s="167"/>
      <c r="S681" s="167"/>
    </row>
    <row r="682">
      <c r="O682" s="207"/>
      <c r="P682" s="206"/>
      <c r="Q682" s="167"/>
      <c r="R682" s="167"/>
      <c r="S682" s="167"/>
    </row>
    <row r="683">
      <c r="O683" s="207"/>
      <c r="P683" s="206"/>
      <c r="Q683" s="167"/>
      <c r="R683" s="167"/>
      <c r="S683" s="167"/>
    </row>
    <row r="684">
      <c r="O684" s="207"/>
      <c r="P684" s="206"/>
      <c r="Q684" s="167"/>
      <c r="R684" s="167"/>
      <c r="S684" s="167"/>
    </row>
    <row r="685">
      <c r="O685" s="207"/>
      <c r="P685" s="206"/>
      <c r="Q685" s="167"/>
      <c r="R685" s="167"/>
      <c r="S685" s="167"/>
    </row>
    <row r="686">
      <c r="O686" s="207"/>
      <c r="P686" s="206"/>
      <c r="Q686" s="167"/>
      <c r="R686" s="167"/>
      <c r="S686" s="167"/>
    </row>
    <row r="687">
      <c r="O687" s="207"/>
      <c r="P687" s="206"/>
      <c r="Q687" s="167"/>
      <c r="R687" s="167"/>
      <c r="S687" s="167"/>
    </row>
    <row r="688">
      <c r="O688" s="207"/>
      <c r="P688" s="206"/>
      <c r="Q688" s="167"/>
      <c r="R688" s="167"/>
      <c r="S688" s="167"/>
    </row>
    <row r="689">
      <c r="O689" s="207"/>
      <c r="P689" s="206"/>
      <c r="Q689" s="167"/>
      <c r="R689" s="167"/>
      <c r="S689" s="167"/>
    </row>
    <row r="690">
      <c r="O690" s="207"/>
      <c r="P690" s="206"/>
      <c r="Q690" s="167"/>
      <c r="R690" s="167"/>
      <c r="S690" s="167"/>
    </row>
    <row r="691">
      <c r="O691" s="207"/>
      <c r="P691" s="206"/>
      <c r="Q691" s="167"/>
      <c r="R691" s="167"/>
      <c r="S691" s="167"/>
    </row>
    <row r="692">
      <c r="O692" s="207"/>
      <c r="P692" s="206"/>
      <c r="Q692" s="167"/>
      <c r="R692" s="167"/>
      <c r="S692" s="167"/>
    </row>
    <row r="693">
      <c r="O693" s="207"/>
      <c r="P693" s="206"/>
      <c r="Q693" s="167"/>
      <c r="R693" s="167"/>
      <c r="S693" s="167"/>
    </row>
    <row r="694">
      <c r="O694" s="207"/>
      <c r="P694" s="206"/>
      <c r="Q694" s="167"/>
      <c r="R694" s="167"/>
      <c r="S694" s="167"/>
    </row>
    <row r="695">
      <c r="O695" s="207"/>
      <c r="P695" s="206"/>
      <c r="Q695" s="167"/>
      <c r="R695" s="167"/>
      <c r="S695" s="167"/>
    </row>
    <row r="696">
      <c r="O696" s="207"/>
      <c r="P696" s="206"/>
      <c r="Q696" s="167"/>
      <c r="R696" s="167"/>
      <c r="S696" s="167"/>
    </row>
    <row r="697">
      <c r="O697" s="207"/>
      <c r="P697" s="206"/>
      <c r="Q697" s="167"/>
      <c r="R697" s="167"/>
      <c r="S697" s="167"/>
    </row>
    <row r="698">
      <c r="O698" s="207"/>
      <c r="P698" s="206"/>
      <c r="Q698" s="167"/>
      <c r="R698" s="167"/>
      <c r="S698" s="167"/>
    </row>
    <row r="699">
      <c r="O699" s="207"/>
      <c r="P699" s="206"/>
      <c r="Q699" s="167"/>
      <c r="R699" s="167"/>
      <c r="S699" s="167"/>
    </row>
    <row r="700">
      <c r="O700" s="207"/>
      <c r="P700" s="206"/>
      <c r="Q700" s="167"/>
      <c r="R700" s="167"/>
      <c r="S700" s="167"/>
    </row>
    <row r="701">
      <c r="O701" s="207"/>
      <c r="P701" s="206"/>
      <c r="Q701" s="167"/>
      <c r="R701" s="167"/>
      <c r="S701" s="167"/>
    </row>
    <row r="702">
      <c r="O702" s="207"/>
      <c r="P702" s="206"/>
      <c r="Q702" s="167"/>
      <c r="R702" s="167"/>
      <c r="S702" s="167"/>
    </row>
    <row r="703">
      <c r="O703" s="207"/>
      <c r="P703" s="206"/>
      <c r="Q703" s="167"/>
      <c r="R703" s="167"/>
      <c r="S703" s="167"/>
    </row>
    <row r="704">
      <c r="O704" s="207"/>
      <c r="P704" s="206"/>
      <c r="Q704" s="167"/>
      <c r="R704" s="167"/>
      <c r="S704" s="167"/>
    </row>
    <row r="705">
      <c r="O705" s="207"/>
      <c r="P705" s="206"/>
      <c r="Q705" s="167"/>
      <c r="R705" s="167"/>
      <c r="S705" s="167"/>
    </row>
    <row r="706">
      <c r="O706" s="207"/>
      <c r="P706" s="206"/>
      <c r="Q706" s="167"/>
      <c r="R706" s="167"/>
      <c r="S706" s="167"/>
    </row>
    <row r="707">
      <c r="O707" s="207"/>
      <c r="P707" s="206"/>
      <c r="Q707" s="167"/>
      <c r="R707" s="167"/>
      <c r="S707" s="167"/>
    </row>
    <row r="708">
      <c r="O708" s="207"/>
      <c r="P708" s="206"/>
      <c r="Q708" s="167"/>
      <c r="R708" s="167"/>
      <c r="S708" s="167"/>
    </row>
    <row r="709">
      <c r="O709" s="207"/>
      <c r="P709" s="206"/>
      <c r="Q709" s="167"/>
      <c r="R709" s="167"/>
      <c r="S709" s="167"/>
    </row>
    <row r="710">
      <c r="O710" s="207"/>
      <c r="P710" s="206"/>
      <c r="Q710" s="167"/>
      <c r="R710" s="167"/>
      <c r="S710" s="167"/>
    </row>
    <row r="711">
      <c r="O711" s="207"/>
      <c r="P711" s="206"/>
      <c r="Q711" s="167"/>
      <c r="R711" s="167"/>
      <c r="S711" s="167"/>
    </row>
    <row r="712">
      <c r="O712" s="207"/>
      <c r="P712" s="206"/>
      <c r="Q712" s="167"/>
      <c r="R712" s="167"/>
      <c r="S712" s="167"/>
    </row>
    <row r="713">
      <c r="O713" s="207"/>
      <c r="P713" s="206"/>
      <c r="Q713" s="167"/>
      <c r="R713" s="167"/>
      <c r="S713" s="167"/>
    </row>
    <row r="714">
      <c r="O714" s="207"/>
      <c r="P714" s="206"/>
      <c r="Q714" s="167"/>
      <c r="R714" s="167"/>
      <c r="S714" s="167"/>
    </row>
    <row r="715">
      <c r="O715" s="207"/>
      <c r="P715" s="206"/>
      <c r="Q715" s="167"/>
      <c r="R715" s="167"/>
      <c r="S715" s="167"/>
    </row>
    <row r="716">
      <c r="O716" s="207"/>
      <c r="P716" s="206"/>
      <c r="Q716" s="167"/>
      <c r="R716" s="167"/>
      <c r="S716" s="167"/>
    </row>
    <row r="717">
      <c r="O717" s="207"/>
      <c r="P717" s="206"/>
      <c r="Q717" s="167"/>
      <c r="R717" s="167"/>
      <c r="S717" s="167"/>
    </row>
    <row r="718">
      <c r="O718" s="207"/>
      <c r="P718" s="206"/>
      <c r="Q718" s="167"/>
      <c r="R718" s="167"/>
      <c r="S718" s="167"/>
    </row>
    <row r="719">
      <c r="O719" s="207"/>
      <c r="P719" s="206"/>
      <c r="Q719" s="167"/>
      <c r="R719" s="167"/>
      <c r="S719" s="167"/>
    </row>
    <row r="720">
      <c r="O720" s="207"/>
      <c r="P720" s="206"/>
      <c r="Q720" s="167"/>
      <c r="R720" s="167"/>
      <c r="S720" s="167"/>
    </row>
    <row r="721">
      <c r="O721" s="207"/>
      <c r="P721" s="206"/>
      <c r="Q721" s="167"/>
      <c r="R721" s="167"/>
      <c r="S721" s="167"/>
    </row>
    <row r="722">
      <c r="O722" s="207"/>
      <c r="P722" s="206"/>
      <c r="Q722" s="167"/>
      <c r="R722" s="167"/>
      <c r="S722" s="167"/>
    </row>
    <row r="723">
      <c r="O723" s="207"/>
      <c r="P723" s="206"/>
      <c r="Q723" s="167"/>
      <c r="R723" s="167"/>
      <c r="S723" s="167"/>
    </row>
    <row r="724">
      <c r="O724" s="207"/>
      <c r="P724" s="206"/>
      <c r="Q724" s="167"/>
      <c r="R724" s="167"/>
      <c r="S724" s="167"/>
    </row>
    <row r="725">
      <c r="O725" s="207"/>
      <c r="P725" s="206"/>
      <c r="Q725" s="167"/>
      <c r="R725" s="167"/>
      <c r="S725" s="167"/>
    </row>
    <row r="726">
      <c r="O726" s="207"/>
      <c r="P726" s="206"/>
      <c r="Q726" s="167"/>
      <c r="R726" s="167"/>
      <c r="S726" s="167"/>
    </row>
    <row r="727">
      <c r="O727" s="207"/>
      <c r="P727" s="206"/>
      <c r="Q727" s="167"/>
      <c r="R727" s="167"/>
      <c r="S727" s="167"/>
    </row>
    <row r="728">
      <c r="O728" s="207"/>
      <c r="P728" s="206"/>
      <c r="Q728" s="167"/>
      <c r="R728" s="167"/>
      <c r="S728" s="167"/>
    </row>
    <row r="729">
      <c r="O729" s="207"/>
      <c r="P729" s="206"/>
      <c r="Q729" s="167"/>
      <c r="R729" s="167"/>
      <c r="S729" s="167"/>
    </row>
    <row r="730">
      <c r="O730" s="207"/>
      <c r="P730" s="206"/>
      <c r="Q730" s="167"/>
      <c r="R730" s="167"/>
      <c r="S730" s="167"/>
    </row>
    <row r="731">
      <c r="O731" s="207"/>
      <c r="P731" s="206"/>
      <c r="Q731" s="167"/>
      <c r="R731" s="167"/>
      <c r="S731" s="167"/>
    </row>
    <row r="732">
      <c r="O732" s="207"/>
      <c r="P732" s="206"/>
      <c r="Q732" s="167"/>
      <c r="R732" s="167"/>
      <c r="S732" s="167"/>
    </row>
    <row r="733">
      <c r="O733" s="207"/>
      <c r="P733" s="206"/>
      <c r="Q733" s="167"/>
      <c r="R733" s="167"/>
      <c r="S733" s="167"/>
    </row>
    <row r="734">
      <c r="O734" s="207"/>
      <c r="P734" s="206"/>
      <c r="Q734" s="167"/>
      <c r="R734" s="167"/>
      <c r="S734" s="167"/>
    </row>
    <row r="735">
      <c r="O735" s="207"/>
      <c r="P735" s="206"/>
      <c r="Q735" s="167"/>
      <c r="R735" s="167"/>
      <c r="S735" s="167"/>
    </row>
    <row r="736">
      <c r="O736" s="207"/>
      <c r="P736" s="206"/>
      <c r="Q736" s="167"/>
      <c r="R736" s="167"/>
      <c r="S736" s="167"/>
    </row>
    <row r="737">
      <c r="O737" s="207"/>
      <c r="P737" s="206"/>
      <c r="Q737" s="167"/>
      <c r="R737" s="167"/>
      <c r="S737" s="167"/>
    </row>
    <row r="738">
      <c r="O738" s="207"/>
      <c r="P738" s="206"/>
      <c r="Q738" s="167"/>
      <c r="R738" s="167"/>
      <c r="S738" s="167"/>
    </row>
    <row r="739">
      <c r="O739" s="207"/>
      <c r="P739" s="206"/>
      <c r="Q739" s="167"/>
      <c r="R739" s="167"/>
      <c r="S739" s="167"/>
    </row>
    <row r="740">
      <c r="O740" s="207"/>
      <c r="P740" s="206"/>
      <c r="Q740" s="167"/>
      <c r="R740" s="167"/>
      <c r="S740" s="167"/>
    </row>
    <row r="741">
      <c r="O741" s="207"/>
      <c r="P741" s="206"/>
      <c r="Q741" s="167"/>
      <c r="R741" s="167"/>
      <c r="S741" s="167"/>
    </row>
    <row r="742">
      <c r="O742" s="207"/>
      <c r="P742" s="206"/>
      <c r="Q742" s="167"/>
      <c r="R742" s="167"/>
      <c r="S742" s="167"/>
    </row>
    <row r="743">
      <c r="O743" s="207"/>
      <c r="P743" s="206"/>
      <c r="Q743" s="167"/>
      <c r="R743" s="167"/>
      <c r="S743" s="167"/>
    </row>
    <row r="744">
      <c r="O744" s="207"/>
      <c r="P744" s="206"/>
      <c r="Q744" s="167"/>
      <c r="R744" s="167"/>
      <c r="S744" s="167"/>
    </row>
    <row r="745">
      <c r="O745" s="207"/>
      <c r="P745" s="206"/>
      <c r="Q745" s="167"/>
      <c r="R745" s="167"/>
      <c r="S745" s="167"/>
    </row>
    <row r="746">
      <c r="O746" s="207"/>
      <c r="P746" s="206"/>
      <c r="Q746" s="167"/>
      <c r="R746" s="167"/>
      <c r="S746" s="167"/>
    </row>
    <row r="747">
      <c r="O747" s="207"/>
      <c r="P747" s="206"/>
      <c r="Q747" s="167"/>
      <c r="R747" s="167"/>
      <c r="S747" s="167"/>
    </row>
    <row r="748">
      <c r="O748" s="207"/>
      <c r="P748" s="206"/>
      <c r="Q748" s="167"/>
      <c r="R748" s="167"/>
      <c r="S748" s="167"/>
    </row>
    <row r="749">
      <c r="O749" s="207"/>
      <c r="P749" s="206"/>
      <c r="Q749" s="167"/>
      <c r="R749" s="167"/>
      <c r="S749" s="167"/>
    </row>
    <row r="750">
      <c r="O750" s="207"/>
      <c r="P750" s="206"/>
      <c r="Q750" s="167"/>
      <c r="R750" s="167"/>
      <c r="S750" s="167"/>
    </row>
    <row r="751">
      <c r="O751" s="207"/>
      <c r="P751" s="206"/>
      <c r="Q751" s="167"/>
      <c r="R751" s="167"/>
      <c r="S751" s="167"/>
    </row>
    <row r="752">
      <c r="O752" s="207"/>
      <c r="P752" s="206"/>
      <c r="Q752" s="167"/>
      <c r="R752" s="167"/>
      <c r="S752" s="167"/>
    </row>
    <row r="753">
      <c r="O753" s="207"/>
      <c r="P753" s="206"/>
      <c r="Q753" s="167"/>
      <c r="R753" s="167"/>
      <c r="S753" s="167"/>
    </row>
    <row r="754">
      <c r="O754" s="207"/>
      <c r="P754" s="206"/>
      <c r="Q754" s="167"/>
      <c r="R754" s="167"/>
      <c r="S754" s="167"/>
    </row>
    <row r="755">
      <c r="O755" s="207"/>
      <c r="P755" s="206"/>
      <c r="Q755" s="167"/>
      <c r="R755" s="167"/>
      <c r="S755" s="167"/>
    </row>
    <row r="756">
      <c r="O756" s="207"/>
      <c r="P756" s="206"/>
      <c r="Q756" s="167"/>
      <c r="R756" s="167"/>
      <c r="S756" s="167"/>
    </row>
    <row r="757">
      <c r="O757" s="207"/>
      <c r="P757" s="206"/>
      <c r="Q757" s="167"/>
      <c r="R757" s="167"/>
      <c r="S757" s="167"/>
    </row>
    <row r="758">
      <c r="O758" s="207"/>
      <c r="P758" s="206"/>
      <c r="Q758" s="167"/>
      <c r="R758" s="167"/>
      <c r="S758" s="167"/>
    </row>
    <row r="759">
      <c r="O759" s="207"/>
      <c r="P759" s="206"/>
      <c r="Q759" s="167"/>
      <c r="R759" s="167"/>
      <c r="S759" s="167"/>
    </row>
    <row r="760">
      <c r="O760" s="207"/>
      <c r="P760" s="206"/>
      <c r="Q760" s="167"/>
      <c r="R760" s="167"/>
      <c r="S760" s="167"/>
    </row>
    <row r="761">
      <c r="O761" s="207"/>
      <c r="P761" s="206"/>
      <c r="Q761" s="167"/>
      <c r="R761" s="167"/>
      <c r="S761" s="167"/>
    </row>
    <row r="762">
      <c r="O762" s="207"/>
      <c r="P762" s="206"/>
      <c r="Q762" s="167"/>
      <c r="R762" s="167"/>
      <c r="S762" s="167"/>
    </row>
    <row r="763">
      <c r="O763" s="207"/>
      <c r="P763" s="206"/>
      <c r="Q763" s="167"/>
      <c r="R763" s="167"/>
      <c r="S763" s="167"/>
    </row>
    <row r="764">
      <c r="O764" s="207"/>
      <c r="P764" s="206"/>
      <c r="Q764" s="167"/>
      <c r="R764" s="167"/>
      <c r="S764" s="167"/>
    </row>
    <row r="765">
      <c r="O765" s="207"/>
      <c r="P765" s="206"/>
      <c r="Q765" s="167"/>
      <c r="R765" s="167"/>
      <c r="S765" s="167"/>
    </row>
    <row r="766">
      <c r="O766" s="207"/>
      <c r="P766" s="206"/>
      <c r="Q766" s="167"/>
      <c r="R766" s="167"/>
      <c r="S766" s="167"/>
    </row>
    <row r="767">
      <c r="O767" s="207"/>
      <c r="P767" s="206"/>
      <c r="Q767" s="167"/>
      <c r="R767" s="167"/>
      <c r="S767" s="167"/>
    </row>
    <row r="768">
      <c r="O768" s="207"/>
      <c r="P768" s="206"/>
      <c r="Q768" s="167"/>
      <c r="R768" s="167"/>
      <c r="S768" s="167"/>
    </row>
    <row r="769">
      <c r="O769" s="207"/>
      <c r="P769" s="206"/>
      <c r="Q769" s="167"/>
      <c r="R769" s="167"/>
      <c r="S769" s="167"/>
    </row>
    <row r="770">
      <c r="O770" s="207"/>
      <c r="P770" s="206"/>
      <c r="Q770" s="167"/>
      <c r="R770" s="167"/>
      <c r="S770" s="167"/>
    </row>
    <row r="771">
      <c r="O771" s="207"/>
      <c r="P771" s="206"/>
      <c r="Q771" s="167"/>
      <c r="R771" s="167"/>
      <c r="S771" s="167"/>
    </row>
    <row r="772">
      <c r="O772" s="207"/>
      <c r="P772" s="206"/>
      <c r="Q772" s="167"/>
      <c r="R772" s="167"/>
      <c r="S772" s="167"/>
    </row>
    <row r="773">
      <c r="O773" s="207"/>
      <c r="P773" s="206"/>
      <c r="Q773" s="167"/>
      <c r="R773" s="167"/>
      <c r="S773" s="167"/>
    </row>
    <row r="774">
      <c r="O774" s="207"/>
      <c r="P774" s="206"/>
      <c r="Q774" s="167"/>
      <c r="R774" s="167"/>
      <c r="S774" s="167"/>
    </row>
    <row r="775">
      <c r="O775" s="207"/>
      <c r="P775" s="206"/>
      <c r="Q775" s="167"/>
      <c r="R775" s="167"/>
      <c r="S775" s="167"/>
    </row>
    <row r="776">
      <c r="O776" s="207"/>
      <c r="P776" s="206"/>
      <c r="Q776" s="167"/>
      <c r="R776" s="167"/>
      <c r="S776" s="167"/>
    </row>
    <row r="777">
      <c r="O777" s="207"/>
      <c r="P777" s="206"/>
      <c r="Q777" s="167"/>
      <c r="R777" s="167"/>
      <c r="S777" s="167"/>
    </row>
    <row r="778">
      <c r="O778" s="207"/>
      <c r="P778" s="206"/>
      <c r="Q778" s="167"/>
      <c r="R778" s="167"/>
      <c r="S778" s="167"/>
    </row>
    <row r="779">
      <c r="O779" s="207"/>
      <c r="P779" s="206"/>
      <c r="Q779" s="167"/>
      <c r="R779" s="167"/>
      <c r="S779" s="167"/>
    </row>
    <row r="780">
      <c r="O780" s="207"/>
      <c r="P780" s="206"/>
      <c r="Q780" s="167"/>
      <c r="R780" s="167"/>
      <c r="S780" s="167"/>
    </row>
    <row r="781">
      <c r="O781" s="207"/>
      <c r="P781" s="206"/>
      <c r="Q781" s="167"/>
      <c r="R781" s="167"/>
      <c r="S781" s="167"/>
    </row>
    <row r="782">
      <c r="O782" s="207"/>
      <c r="P782" s="206"/>
      <c r="Q782" s="167"/>
      <c r="R782" s="167"/>
      <c r="S782" s="167"/>
    </row>
    <row r="783">
      <c r="O783" s="207"/>
      <c r="P783" s="206"/>
      <c r="Q783" s="167"/>
      <c r="R783" s="167"/>
      <c r="S783" s="167"/>
    </row>
    <row r="784">
      <c r="O784" s="207"/>
      <c r="P784" s="206"/>
      <c r="Q784" s="167"/>
      <c r="R784" s="167"/>
      <c r="S784" s="167"/>
    </row>
    <row r="785">
      <c r="O785" s="207"/>
      <c r="P785" s="206"/>
      <c r="Q785" s="167"/>
      <c r="R785" s="167"/>
      <c r="S785" s="167"/>
    </row>
    <row r="786">
      <c r="O786" s="207"/>
      <c r="P786" s="206"/>
      <c r="Q786" s="167"/>
      <c r="R786" s="167"/>
      <c r="S786" s="167"/>
    </row>
    <row r="787">
      <c r="O787" s="207"/>
      <c r="P787" s="206"/>
      <c r="Q787" s="167"/>
      <c r="R787" s="167"/>
      <c r="S787" s="167"/>
    </row>
    <row r="788">
      <c r="O788" s="207"/>
      <c r="P788" s="206"/>
      <c r="Q788" s="167"/>
      <c r="R788" s="167"/>
      <c r="S788" s="167"/>
    </row>
    <row r="789">
      <c r="O789" s="207"/>
      <c r="P789" s="206"/>
      <c r="Q789" s="167"/>
      <c r="R789" s="167"/>
      <c r="S789" s="167"/>
    </row>
    <row r="790">
      <c r="O790" s="207"/>
      <c r="P790" s="206"/>
      <c r="Q790" s="167"/>
      <c r="R790" s="167"/>
      <c r="S790" s="167"/>
    </row>
    <row r="791">
      <c r="O791" s="207"/>
      <c r="P791" s="206"/>
      <c r="Q791" s="167"/>
      <c r="R791" s="167"/>
      <c r="S791" s="167"/>
    </row>
    <row r="792">
      <c r="O792" s="207"/>
      <c r="P792" s="206"/>
      <c r="Q792" s="167"/>
      <c r="R792" s="167"/>
      <c r="S792" s="167"/>
    </row>
    <row r="793">
      <c r="O793" s="207"/>
      <c r="P793" s="206"/>
      <c r="Q793" s="167"/>
      <c r="R793" s="167"/>
      <c r="S793" s="167"/>
    </row>
    <row r="794">
      <c r="O794" s="207"/>
      <c r="P794" s="206"/>
      <c r="Q794" s="167"/>
      <c r="R794" s="167"/>
      <c r="S794" s="167"/>
    </row>
    <row r="795">
      <c r="O795" s="207"/>
      <c r="P795" s="206"/>
      <c r="Q795" s="167"/>
      <c r="R795" s="167"/>
      <c r="S795" s="167"/>
    </row>
    <row r="796">
      <c r="O796" s="207"/>
      <c r="P796" s="206"/>
      <c r="Q796" s="167"/>
      <c r="R796" s="167"/>
      <c r="S796" s="167"/>
    </row>
    <row r="797">
      <c r="O797" s="207"/>
      <c r="P797" s="206"/>
      <c r="Q797" s="167"/>
      <c r="R797" s="167"/>
      <c r="S797" s="167"/>
    </row>
    <row r="798">
      <c r="O798" s="207"/>
      <c r="P798" s="206"/>
      <c r="Q798" s="167"/>
      <c r="R798" s="167"/>
      <c r="S798" s="167"/>
    </row>
    <row r="799">
      <c r="O799" s="207"/>
      <c r="P799" s="206"/>
      <c r="Q799" s="167"/>
      <c r="R799" s="167"/>
      <c r="S799" s="167"/>
    </row>
    <row r="800">
      <c r="O800" s="207"/>
      <c r="P800" s="206"/>
      <c r="Q800" s="167"/>
      <c r="R800" s="167"/>
      <c r="S800" s="167"/>
    </row>
    <row r="801">
      <c r="O801" s="207"/>
      <c r="P801" s="206"/>
      <c r="Q801" s="167"/>
      <c r="R801" s="167"/>
      <c r="S801" s="167"/>
    </row>
    <row r="802">
      <c r="O802" s="207"/>
      <c r="P802" s="206"/>
      <c r="Q802" s="167"/>
      <c r="R802" s="167"/>
      <c r="S802" s="167"/>
    </row>
    <row r="803">
      <c r="O803" s="207"/>
      <c r="P803" s="206"/>
      <c r="Q803" s="167"/>
      <c r="R803" s="167"/>
      <c r="S803" s="167"/>
    </row>
    <row r="804">
      <c r="O804" s="207"/>
      <c r="P804" s="206"/>
      <c r="Q804" s="167"/>
      <c r="R804" s="167"/>
      <c r="S804" s="167"/>
    </row>
    <row r="805">
      <c r="O805" s="207"/>
      <c r="P805" s="206"/>
      <c r="Q805" s="167"/>
      <c r="R805" s="167"/>
      <c r="S805" s="167"/>
    </row>
    <row r="806">
      <c r="O806" s="207"/>
      <c r="P806" s="206"/>
      <c r="Q806" s="167"/>
      <c r="R806" s="167"/>
      <c r="S806" s="167"/>
    </row>
    <row r="807">
      <c r="O807" s="207"/>
      <c r="P807" s="206"/>
      <c r="Q807" s="167"/>
      <c r="R807" s="167"/>
      <c r="S807" s="167"/>
    </row>
    <row r="808">
      <c r="O808" s="207"/>
      <c r="P808" s="206"/>
      <c r="Q808" s="167"/>
      <c r="R808" s="167"/>
      <c r="S808" s="167"/>
    </row>
    <row r="809">
      <c r="O809" s="207"/>
      <c r="P809" s="206"/>
      <c r="Q809" s="167"/>
      <c r="R809" s="167"/>
      <c r="S809" s="167"/>
    </row>
    <row r="810">
      <c r="O810" s="207"/>
      <c r="P810" s="206"/>
      <c r="Q810" s="167"/>
      <c r="R810" s="167"/>
      <c r="S810" s="167"/>
    </row>
    <row r="811">
      <c r="O811" s="207"/>
      <c r="P811" s="206"/>
      <c r="Q811" s="167"/>
      <c r="R811" s="167"/>
      <c r="S811" s="167"/>
    </row>
    <row r="812">
      <c r="O812" s="207"/>
      <c r="P812" s="206"/>
      <c r="Q812" s="167"/>
      <c r="R812" s="167"/>
      <c r="S812" s="167"/>
    </row>
    <row r="813">
      <c r="O813" s="207"/>
      <c r="P813" s="206"/>
      <c r="Q813" s="167"/>
      <c r="R813" s="167"/>
      <c r="S813" s="167"/>
    </row>
    <row r="814">
      <c r="O814" s="207"/>
      <c r="P814" s="206"/>
      <c r="Q814" s="167"/>
      <c r="R814" s="167"/>
      <c r="S814" s="167"/>
    </row>
    <row r="815">
      <c r="O815" s="207"/>
      <c r="P815" s="206"/>
      <c r="Q815" s="167"/>
      <c r="R815" s="167"/>
      <c r="S815" s="167"/>
    </row>
    <row r="816">
      <c r="O816" s="207"/>
      <c r="P816" s="206"/>
      <c r="Q816" s="167"/>
      <c r="R816" s="167"/>
      <c r="S816" s="167"/>
    </row>
    <row r="817">
      <c r="O817" s="207"/>
      <c r="P817" s="206"/>
      <c r="Q817" s="167"/>
      <c r="R817" s="167"/>
      <c r="S817" s="167"/>
    </row>
    <row r="818">
      <c r="O818" s="207"/>
      <c r="P818" s="206"/>
      <c r="Q818" s="167"/>
      <c r="R818" s="167"/>
      <c r="S818" s="167"/>
    </row>
    <row r="819">
      <c r="O819" s="207"/>
      <c r="P819" s="206"/>
      <c r="Q819" s="167"/>
      <c r="R819" s="167"/>
      <c r="S819" s="167"/>
    </row>
    <row r="820">
      <c r="O820" s="207"/>
      <c r="P820" s="206"/>
      <c r="Q820" s="167"/>
      <c r="R820" s="167"/>
      <c r="S820" s="167"/>
    </row>
    <row r="821">
      <c r="O821" s="207"/>
      <c r="P821" s="206"/>
      <c r="Q821" s="167"/>
      <c r="R821" s="167"/>
      <c r="S821" s="167"/>
    </row>
    <row r="822">
      <c r="O822" s="207"/>
      <c r="P822" s="206"/>
      <c r="Q822" s="167"/>
      <c r="R822" s="167"/>
      <c r="S822" s="167"/>
    </row>
    <row r="823">
      <c r="O823" s="207"/>
      <c r="P823" s="206"/>
      <c r="Q823" s="167"/>
      <c r="R823" s="167"/>
      <c r="S823" s="167"/>
    </row>
    <row r="824">
      <c r="O824" s="207"/>
      <c r="P824" s="206"/>
      <c r="Q824" s="167"/>
      <c r="R824" s="167"/>
      <c r="S824" s="167"/>
    </row>
    <row r="825">
      <c r="O825" s="207"/>
      <c r="P825" s="206"/>
      <c r="Q825" s="167"/>
      <c r="R825" s="167"/>
      <c r="S825" s="167"/>
    </row>
    <row r="826">
      <c r="O826" s="207"/>
      <c r="P826" s="206"/>
      <c r="Q826" s="167"/>
      <c r="R826" s="167"/>
      <c r="S826" s="167"/>
    </row>
    <row r="827">
      <c r="O827" s="207"/>
      <c r="P827" s="206"/>
      <c r="Q827" s="167"/>
      <c r="R827" s="167"/>
      <c r="S827" s="167"/>
    </row>
    <row r="828">
      <c r="O828" s="207"/>
      <c r="P828" s="206"/>
      <c r="Q828" s="167"/>
      <c r="R828" s="167"/>
      <c r="S828" s="167"/>
    </row>
    <row r="829">
      <c r="O829" s="207"/>
      <c r="P829" s="206"/>
      <c r="Q829" s="167"/>
      <c r="R829" s="167"/>
      <c r="S829" s="167"/>
    </row>
    <row r="830">
      <c r="O830" s="207"/>
      <c r="P830" s="206"/>
      <c r="Q830" s="167"/>
      <c r="R830" s="167"/>
      <c r="S830" s="167"/>
    </row>
    <row r="831">
      <c r="O831" s="207"/>
      <c r="P831" s="206"/>
      <c r="Q831" s="167"/>
      <c r="R831" s="167"/>
      <c r="S831" s="167"/>
    </row>
    <row r="832">
      <c r="O832" s="207"/>
      <c r="P832" s="206"/>
      <c r="Q832" s="167"/>
      <c r="R832" s="167"/>
      <c r="S832" s="167"/>
    </row>
    <row r="833">
      <c r="O833" s="207"/>
      <c r="P833" s="206"/>
      <c r="Q833" s="167"/>
      <c r="R833" s="167"/>
      <c r="S833" s="167"/>
    </row>
    <row r="834">
      <c r="O834" s="207"/>
      <c r="P834" s="206"/>
      <c r="Q834" s="167"/>
      <c r="R834" s="167"/>
      <c r="S834" s="167"/>
    </row>
    <row r="835">
      <c r="O835" s="207"/>
      <c r="P835" s="206"/>
      <c r="Q835" s="167"/>
      <c r="R835" s="167"/>
      <c r="S835" s="167"/>
    </row>
    <row r="836">
      <c r="O836" s="207"/>
      <c r="P836" s="206"/>
      <c r="Q836" s="167"/>
      <c r="R836" s="167"/>
      <c r="S836" s="167"/>
    </row>
    <row r="837">
      <c r="O837" s="207"/>
      <c r="P837" s="206"/>
      <c r="Q837" s="167"/>
      <c r="R837" s="167"/>
      <c r="S837" s="167"/>
    </row>
    <row r="838">
      <c r="O838" s="207"/>
      <c r="P838" s="206"/>
      <c r="Q838" s="167"/>
      <c r="R838" s="167"/>
      <c r="S838" s="167"/>
    </row>
    <row r="839">
      <c r="O839" s="207"/>
      <c r="P839" s="206"/>
      <c r="Q839" s="167"/>
      <c r="R839" s="167"/>
      <c r="S839" s="167"/>
    </row>
    <row r="840">
      <c r="O840" s="207"/>
      <c r="P840" s="206"/>
      <c r="Q840" s="167"/>
      <c r="R840" s="167"/>
      <c r="S840" s="167"/>
    </row>
    <row r="841">
      <c r="O841" s="207"/>
      <c r="P841" s="206"/>
      <c r="Q841" s="167"/>
      <c r="R841" s="167"/>
      <c r="S841" s="167"/>
    </row>
    <row r="842">
      <c r="O842" s="207"/>
      <c r="P842" s="206"/>
      <c r="Q842" s="167"/>
      <c r="R842" s="167"/>
      <c r="S842" s="167"/>
    </row>
    <row r="843">
      <c r="O843" s="207"/>
      <c r="P843" s="206"/>
      <c r="Q843" s="167"/>
      <c r="R843" s="167"/>
      <c r="S843" s="167"/>
    </row>
    <row r="844">
      <c r="O844" s="207"/>
      <c r="P844" s="206"/>
      <c r="Q844" s="167"/>
      <c r="R844" s="167"/>
      <c r="S844" s="167"/>
    </row>
    <row r="845">
      <c r="O845" s="207"/>
      <c r="P845" s="206"/>
      <c r="Q845" s="167"/>
      <c r="R845" s="167"/>
      <c r="S845" s="167"/>
    </row>
    <row r="846">
      <c r="O846" s="207"/>
      <c r="P846" s="206"/>
      <c r="Q846" s="167"/>
      <c r="R846" s="167"/>
      <c r="S846" s="167"/>
    </row>
    <row r="847">
      <c r="O847" s="207"/>
      <c r="P847" s="206"/>
      <c r="Q847" s="167"/>
      <c r="R847" s="167"/>
      <c r="S847" s="167"/>
    </row>
    <row r="848">
      <c r="O848" s="207"/>
      <c r="P848" s="206"/>
      <c r="Q848" s="167"/>
      <c r="R848" s="167"/>
      <c r="S848" s="167"/>
    </row>
    <row r="849">
      <c r="O849" s="207"/>
      <c r="P849" s="206"/>
      <c r="Q849" s="167"/>
      <c r="R849" s="167"/>
      <c r="S849" s="167"/>
    </row>
    <row r="850">
      <c r="O850" s="207"/>
      <c r="P850" s="206"/>
      <c r="Q850" s="167"/>
      <c r="R850" s="167"/>
      <c r="S850" s="167"/>
    </row>
    <row r="851">
      <c r="O851" s="207"/>
      <c r="P851" s="206"/>
      <c r="Q851" s="167"/>
      <c r="R851" s="167"/>
      <c r="S851" s="167"/>
    </row>
    <row r="852">
      <c r="O852" s="207"/>
      <c r="P852" s="206"/>
      <c r="Q852" s="167"/>
      <c r="R852" s="167"/>
      <c r="S852" s="167"/>
    </row>
    <row r="853">
      <c r="O853" s="207"/>
      <c r="P853" s="206"/>
      <c r="Q853" s="167"/>
      <c r="R853" s="167"/>
      <c r="S853" s="167"/>
    </row>
    <row r="854">
      <c r="O854" s="207"/>
      <c r="P854" s="206"/>
      <c r="Q854" s="167"/>
      <c r="R854" s="167"/>
      <c r="S854" s="167"/>
    </row>
    <row r="855">
      <c r="O855" s="207"/>
      <c r="P855" s="206"/>
      <c r="Q855" s="167"/>
      <c r="R855" s="167"/>
      <c r="S855" s="167"/>
    </row>
    <row r="856">
      <c r="O856" s="207"/>
      <c r="P856" s="206"/>
      <c r="Q856" s="167"/>
      <c r="R856" s="167"/>
      <c r="S856" s="167"/>
    </row>
    <row r="857">
      <c r="O857" s="207"/>
      <c r="P857" s="206"/>
      <c r="Q857" s="167"/>
      <c r="R857" s="167"/>
      <c r="S857" s="167"/>
    </row>
    <row r="858">
      <c r="O858" s="207"/>
      <c r="P858" s="206"/>
      <c r="Q858" s="167"/>
      <c r="R858" s="167"/>
      <c r="S858" s="167"/>
    </row>
    <row r="859">
      <c r="O859" s="207"/>
      <c r="P859" s="206"/>
      <c r="Q859" s="167"/>
      <c r="R859" s="167"/>
      <c r="S859" s="167"/>
    </row>
    <row r="860">
      <c r="O860" s="207"/>
      <c r="P860" s="206"/>
      <c r="Q860" s="167"/>
      <c r="R860" s="167"/>
      <c r="S860" s="167"/>
    </row>
    <row r="861">
      <c r="O861" s="207"/>
      <c r="P861" s="206"/>
      <c r="Q861" s="167"/>
      <c r="R861" s="167"/>
      <c r="S861" s="167"/>
    </row>
    <row r="862">
      <c r="O862" s="207"/>
      <c r="P862" s="206"/>
      <c r="Q862" s="167"/>
      <c r="R862" s="167"/>
      <c r="S862" s="167"/>
    </row>
    <row r="863">
      <c r="O863" s="207"/>
      <c r="P863" s="206"/>
      <c r="Q863" s="167"/>
      <c r="R863" s="167"/>
      <c r="S863" s="167"/>
    </row>
    <row r="864">
      <c r="O864" s="207"/>
      <c r="P864" s="206"/>
      <c r="Q864" s="167"/>
      <c r="R864" s="167"/>
      <c r="S864" s="167"/>
    </row>
    <row r="865">
      <c r="O865" s="207"/>
      <c r="P865" s="206"/>
      <c r="Q865" s="167"/>
      <c r="R865" s="167"/>
      <c r="S865" s="167"/>
    </row>
    <row r="866">
      <c r="O866" s="207"/>
      <c r="P866" s="206"/>
      <c r="Q866" s="167"/>
      <c r="R866" s="167"/>
      <c r="S866" s="167"/>
    </row>
    <row r="867">
      <c r="O867" s="207"/>
      <c r="P867" s="206"/>
      <c r="Q867" s="167"/>
      <c r="R867" s="167"/>
      <c r="S867" s="167"/>
    </row>
    <row r="868">
      <c r="O868" s="207"/>
      <c r="P868" s="206"/>
      <c r="Q868" s="167"/>
      <c r="R868" s="167"/>
      <c r="S868" s="167"/>
    </row>
    <row r="869">
      <c r="O869" s="207"/>
      <c r="P869" s="206"/>
      <c r="Q869" s="167"/>
      <c r="R869" s="167"/>
      <c r="S869" s="167"/>
    </row>
    <row r="870">
      <c r="O870" s="207"/>
      <c r="P870" s="206"/>
      <c r="Q870" s="167"/>
      <c r="R870" s="167"/>
      <c r="S870" s="167"/>
    </row>
    <row r="871">
      <c r="O871" s="207"/>
      <c r="P871" s="206"/>
      <c r="Q871" s="167"/>
      <c r="R871" s="167"/>
      <c r="S871" s="167"/>
    </row>
    <row r="872">
      <c r="O872" s="207"/>
      <c r="P872" s="206"/>
      <c r="Q872" s="167"/>
      <c r="R872" s="167"/>
      <c r="S872" s="167"/>
    </row>
    <row r="873">
      <c r="O873" s="207"/>
      <c r="P873" s="206"/>
      <c r="Q873" s="167"/>
      <c r="R873" s="167"/>
      <c r="S873" s="167"/>
    </row>
    <row r="874">
      <c r="O874" s="207"/>
      <c r="P874" s="206"/>
      <c r="Q874" s="167"/>
      <c r="R874" s="167"/>
      <c r="S874" s="167"/>
    </row>
    <row r="875">
      <c r="O875" s="207"/>
      <c r="P875" s="206"/>
      <c r="Q875" s="167"/>
      <c r="R875" s="167"/>
      <c r="S875" s="167"/>
    </row>
    <row r="876">
      <c r="O876" s="207"/>
      <c r="P876" s="206"/>
      <c r="Q876" s="167"/>
      <c r="R876" s="167"/>
      <c r="S876" s="167"/>
    </row>
    <row r="877">
      <c r="O877" s="207"/>
      <c r="P877" s="206"/>
      <c r="Q877" s="167"/>
      <c r="R877" s="167"/>
      <c r="S877" s="167"/>
    </row>
    <row r="878">
      <c r="O878" s="207"/>
      <c r="P878" s="206"/>
      <c r="Q878" s="167"/>
      <c r="R878" s="167"/>
      <c r="S878" s="167"/>
    </row>
    <row r="879">
      <c r="O879" s="207"/>
      <c r="P879" s="206"/>
      <c r="Q879" s="167"/>
      <c r="R879" s="167"/>
      <c r="S879" s="167"/>
    </row>
    <row r="880">
      <c r="O880" s="207"/>
      <c r="P880" s="206"/>
      <c r="Q880" s="167"/>
      <c r="R880" s="167"/>
      <c r="S880" s="167"/>
    </row>
    <row r="881">
      <c r="O881" s="207"/>
      <c r="P881" s="206"/>
      <c r="Q881" s="167"/>
      <c r="R881" s="167"/>
      <c r="S881" s="167"/>
    </row>
    <row r="882">
      <c r="O882" s="207"/>
      <c r="P882" s="206"/>
      <c r="Q882" s="167"/>
      <c r="R882" s="167"/>
      <c r="S882" s="167"/>
    </row>
    <row r="883">
      <c r="O883" s="207"/>
      <c r="P883" s="206"/>
      <c r="Q883" s="167"/>
      <c r="R883" s="167"/>
      <c r="S883" s="167"/>
    </row>
    <row r="884">
      <c r="O884" s="207"/>
      <c r="P884" s="206"/>
      <c r="Q884" s="167"/>
      <c r="R884" s="167"/>
      <c r="S884" s="167"/>
    </row>
    <row r="885">
      <c r="O885" s="207"/>
      <c r="P885" s="206"/>
      <c r="Q885" s="167"/>
      <c r="R885" s="167"/>
      <c r="S885" s="167"/>
    </row>
    <row r="886">
      <c r="O886" s="207"/>
      <c r="P886" s="206"/>
      <c r="Q886" s="167"/>
      <c r="R886" s="167"/>
      <c r="S886" s="167"/>
    </row>
    <row r="887">
      <c r="O887" s="207"/>
      <c r="P887" s="206"/>
      <c r="Q887" s="167"/>
      <c r="R887" s="167"/>
      <c r="S887" s="167"/>
    </row>
    <row r="888">
      <c r="O888" s="207"/>
      <c r="P888" s="206"/>
      <c r="Q888" s="167"/>
      <c r="R888" s="167"/>
      <c r="S888" s="167"/>
    </row>
    <row r="889">
      <c r="O889" s="207"/>
      <c r="P889" s="206"/>
      <c r="Q889" s="167"/>
      <c r="R889" s="167"/>
      <c r="S889" s="167"/>
    </row>
    <row r="890">
      <c r="O890" s="207"/>
      <c r="P890" s="206"/>
      <c r="Q890" s="167"/>
      <c r="R890" s="167"/>
      <c r="S890" s="167"/>
    </row>
    <row r="891">
      <c r="O891" s="207"/>
      <c r="P891" s="206"/>
      <c r="Q891" s="167"/>
      <c r="R891" s="167"/>
      <c r="S891" s="167"/>
    </row>
    <row r="892">
      <c r="O892" s="207"/>
      <c r="P892" s="206"/>
      <c r="Q892" s="167"/>
      <c r="R892" s="167"/>
      <c r="S892" s="167"/>
    </row>
    <row r="893">
      <c r="O893" s="207"/>
      <c r="P893" s="206"/>
      <c r="Q893" s="167"/>
      <c r="R893" s="167"/>
      <c r="S893" s="167"/>
    </row>
    <row r="894">
      <c r="O894" s="207"/>
      <c r="P894" s="206"/>
      <c r="Q894" s="167"/>
      <c r="R894" s="167"/>
      <c r="S894" s="167"/>
    </row>
    <row r="895">
      <c r="O895" s="207"/>
      <c r="P895" s="206"/>
      <c r="Q895" s="167"/>
      <c r="R895" s="167"/>
      <c r="S895" s="167"/>
    </row>
    <row r="896">
      <c r="O896" s="207"/>
      <c r="P896" s="206"/>
      <c r="Q896" s="167"/>
      <c r="R896" s="167"/>
      <c r="S896" s="167"/>
    </row>
    <row r="897">
      <c r="O897" s="207"/>
      <c r="P897" s="206"/>
      <c r="Q897" s="167"/>
      <c r="R897" s="167"/>
      <c r="S897" s="167"/>
    </row>
    <row r="898">
      <c r="O898" s="207"/>
      <c r="P898" s="206"/>
      <c r="Q898" s="167"/>
      <c r="R898" s="167"/>
      <c r="S898" s="167"/>
    </row>
    <row r="899">
      <c r="O899" s="207"/>
      <c r="P899" s="206"/>
      <c r="Q899" s="167"/>
      <c r="R899" s="167"/>
      <c r="S899" s="167"/>
    </row>
    <row r="900">
      <c r="O900" s="207"/>
      <c r="P900" s="206"/>
      <c r="Q900" s="167"/>
      <c r="R900" s="167"/>
      <c r="S900" s="167"/>
    </row>
    <row r="901">
      <c r="O901" s="207"/>
      <c r="P901" s="206"/>
      <c r="Q901" s="167"/>
      <c r="R901" s="167"/>
      <c r="S901" s="167"/>
    </row>
    <row r="902">
      <c r="O902" s="207"/>
      <c r="P902" s="206"/>
      <c r="Q902" s="167"/>
      <c r="R902" s="167"/>
      <c r="S902" s="167"/>
    </row>
    <row r="903">
      <c r="O903" s="207"/>
      <c r="P903" s="206"/>
      <c r="Q903" s="167"/>
      <c r="R903" s="167"/>
      <c r="S903" s="167"/>
    </row>
    <row r="904">
      <c r="O904" s="207"/>
      <c r="P904" s="206"/>
      <c r="Q904" s="167"/>
      <c r="R904" s="167"/>
      <c r="S904" s="167"/>
    </row>
    <row r="905">
      <c r="O905" s="207"/>
      <c r="P905" s="206"/>
      <c r="Q905" s="167"/>
      <c r="R905" s="167"/>
      <c r="S905" s="167"/>
    </row>
    <row r="906">
      <c r="O906" s="207"/>
      <c r="P906" s="206"/>
      <c r="Q906" s="167"/>
      <c r="R906" s="167"/>
      <c r="S906" s="167"/>
    </row>
    <row r="907">
      <c r="O907" s="207"/>
      <c r="P907" s="206"/>
      <c r="Q907" s="167"/>
      <c r="R907" s="167"/>
      <c r="S907" s="167"/>
    </row>
    <row r="908">
      <c r="O908" s="207"/>
      <c r="P908" s="206"/>
      <c r="Q908" s="167"/>
      <c r="R908" s="167"/>
      <c r="S908" s="167"/>
    </row>
    <row r="909">
      <c r="O909" s="207"/>
      <c r="P909" s="206"/>
      <c r="Q909" s="167"/>
      <c r="R909" s="167"/>
      <c r="S909" s="167"/>
    </row>
    <row r="910">
      <c r="O910" s="207"/>
      <c r="P910" s="206"/>
      <c r="Q910" s="167"/>
      <c r="R910" s="167"/>
      <c r="S910" s="167"/>
    </row>
    <row r="911">
      <c r="O911" s="207"/>
      <c r="P911" s="206"/>
      <c r="Q911" s="167"/>
      <c r="R911" s="167"/>
      <c r="S911" s="167"/>
    </row>
    <row r="912">
      <c r="O912" s="207"/>
      <c r="P912" s="206"/>
      <c r="Q912" s="167"/>
      <c r="R912" s="167"/>
      <c r="S912" s="167"/>
    </row>
    <row r="913">
      <c r="O913" s="207"/>
      <c r="P913" s="206"/>
      <c r="Q913" s="167"/>
      <c r="R913" s="167"/>
      <c r="S913" s="167"/>
    </row>
    <row r="914">
      <c r="O914" s="207"/>
      <c r="P914" s="206"/>
      <c r="Q914" s="167"/>
      <c r="R914" s="167"/>
      <c r="S914" s="167"/>
    </row>
    <row r="915">
      <c r="O915" s="207"/>
      <c r="P915" s="206"/>
      <c r="Q915" s="167"/>
      <c r="R915" s="167"/>
      <c r="S915" s="167"/>
    </row>
    <row r="916">
      <c r="O916" s="207"/>
      <c r="P916" s="206"/>
      <c r="Q916" s="167"/>
      <c r="R916" s="167"/>
      <c r="S916" s="167"/>
    </row>
    <row r="917">
      <c r="O917" s="207"/>
      <c r="P917" s="206"/>
      <c r="Q917" s="167"/>
      <c r="R917" s="167"/>
      <c r="S917" s="167"/>
    </row>
    <row r="918">
      <c r="O918" s="207"/>
      <c r="P918" s="206"/>
      <c r="Q918" s="167"/>
      <c r="R918" s="167"/>
      <c r="S918" s="167"/>
    </row>
    <row r="919">
      <c r="O919" s="207"/>
      <c r="P919" s="206"/>
      <c r="Q919" s="167"/>
      <c r="R919" s="167"/>
      <c r="S919" s="167"/>
    </row>
    <row r="920">
      <c r="O920" s="207"/>
      <c r="P920" s="206"/>
      <c r="Q920" s="167"/>
      <c r="R920" s="167"/>
      <c r="S920" s="167"/>
    </row>
    <row r="921">
      <c r="O921" s="207"/>
      <c r="P921" s="206"/>
      <c r="Q921" s="167"/>
      <c r="R921" s="167"/>
      <c r="S921" s="167"/>
    </row>
    <row r="922">
      <c r="O922" s="207"/>
      <c r="P922" s="206"/>
      <c r="Q922" s="167"/>
      <c r="R922" s="167"/>
      <c r="S922" s="167"/>
    </row>
    <row r="923">
      <c r="O923" s="207"/>
      <c r="P923" s="206"/>
      <c r="Q923" s="167"/>
      <c r="R923" s="167"/>
      <c r="S923" s="167"/>
    </row>
    <row r="924">
      <c r="O924" s="207"/>
      <c r="P924" s="206"/>
      <c r="Q924" s="167"/>
      <c r="R924" s="167"/>
      <c r="S924" s="167"/>
    </row>
    <row r="925">
      <c r="O925" s="207"/>
      <c r="P925" s="206"/>
      <c r="Q925" s="167"/>
      <c r="R925" s="167"/>
      <c r="S925" s="167"/>
    </row>
    <row r="926">
      <c r="O926" s="207"/>
      <c r="P926" s="206"/>
      <c r="Q926" s="167"/>
      <c r="R926" s="167"/>
      <c r="S926" s="167"/>
    </row>
    <row r="927">
      <c r="O927" s="207"/>
      <c r="P927" s="206"/>
      <c r="Q927" s="167"/>
      <c r="R927" s="167"/>
      <c r="S927" s="167"/>
    </row>
    <row r="928">
      <c r="O928" s="207"/>
      <c r="P928" s="206"/>
      <c r="Q928" s="167"/>
      <c r="R928" s="167"/>
      <c r="S928" s="167"/>
    </row>
    <row r="929">
      <c r="O929" s="207"/>
      <c r="P929" s="206"/>
      <c r="Q929" s="167"/>
      <c r="R929" s="167"/>
      <c r="S929" s="167"/>
    </row>
    <row r="930">
      <c r="O930" s="207"/>
      <c r="P930" s="206"/>
      <c r="Q930" s="167"/>
      <c r="R930" s="167"/>
      <c r="S930" s="167"/>
    </row>
    <row r="931">
      <c r="O931" s="207"/>
      <c r="P931" s="206"/>
      <c r="Q931" s="167"/>
      <c r="R931" s="167"/>
      <c r="S931" s="167"/>
    </row>
    <row r="932">
      <c r="O932" s="207"/>
      <c r="P932" s="206"/>
      <c r="Q932" s="167"/>
      <c r="R932" s="167"/>
      <c r="S932" s="167"/>
    </row>
    <row r="933">
      <c r="O933" s="207"/>
      <c r="P933" s="206"/>
      <c r="Q933" s="167"/>
      <c r="R933" s="167"/>
      <c r="S933" s="167"/>
    </row>
    <row r="934">
      <c r="O934" s="207"/>
      <c r="P934" s="206"/>
      <c r="Q934" s="167"/>
      <c r="R934" s="167"/>
      <c r="S934" s="167"/>
    </row>
    <row r="935">
      <c r="O935" s="207"/>
      <c r="P935" s="206"/>
      <c r="Q935" s="167"/>
      <c r="R935" s="167"/>
      <c r="S935" s="167"/>
    </row>
    <row r="936">
      <c r="O936" s="207"/>
      <c r="P936" s="206"/>
      <c r="Q936" s="167"/>
      <c r="R936" s="167"/>
      <c r="S936" s="167"/>
    </row>
    <row r="937">
      <c r="O937" s="207"/>
      <c r="P937" s="206"/>
      <c r="Q937" s="167"/>
      <c r="R937" s="167"/>
      <c r="S937" s="167"/>
    </row>
    <row r="938">
      <c r="O938" s="207"/>
      <c r="P938" s="206"/>
      <c r="Q938" s="167"/>
      <c r="R938" s="167"/>
      <c r="S938" s="167"/>
    </row>
    <row r="939">
      <c r="O939" s="207"/>
      <c r="P939" s="206"/>
      <c r="Q939" s="167"/>
      <c r="R939" s="167"/>
      <c r="S939" s="167"/>
    </row>
    <row r="940">
      <c r="O940" s="207"/>
      <c r="P940" s="206"/>
      <c r="Q940" s="167"/>
      <c r="R940" s="167"/>
      <c r="S940" s="167"/>
    </row>
    <row r="941">
      <c r="O941" s="207"/>
      <c r="P941" s="206"/>
      <c r="Q941" s="167"/>
      <c r="R941" s="167"/>
      <c r="S941" s="167"/>
    </row>
    <row r="942">
      <c r="O942" s="207"/>
      <c r="P942" s="206"/>
      <c r="Q942" s="167"/>
      <c r="R942" s="167"/>
      <c r="S942" s="167"/>
    </row>
    <row r="943">
      <c r="O943" s="207"/>
      <c r="P943" s="206"/>
      <c r="Q943" s="167"/>
      <c r="R943" s="167"/>
      <c r="S943" s="167"/>
    </row>
    <row r="944">
      <c r="O944" s="207"/>
      <c r="P944" s="206"/>
      <c r="Q944" s="167"/>
      <c r="R944" s="167"/>
      <c r="S944" s="167"/>
    </row>
    <row r="945">
      <c r="O945" s="207"/>
      <c r="P945" s="206"/>
      <c r="Q945" s="167"/>
      <c r="R945" s="167"/>
      <c r="S945" s="167"/>
    </row>
    <row r="946">
      <c r="O946" s="207"/>
      <c r="P946" s="206"/>
      <c r="Q946" s="167"/>
      <c r="R946" s="167"/>
      <c r="S946" s="167"/>
    </row>
    <row r="947">
      <c r="O947" s="207"/>
      <c r="P947" s="206"/>
      <c r="Q947" s="167"/>
      <c r="R947" s="167"/>
      <c r="S947" s="167"/>
    </row>
    <row r="948">
      <c r="O948" s="207"/>
      <c r="P948" s="206"/>
      <c r="Q948" s="167"/>
      <c r="R948" s="167"/>
      <c r="S948" s="167"/>
    </row>
    <row r="949">
      <c r="O949" s="207"/>
      <c r="P949" s="206"/>
      <c r="Q949" s="167"/>
      <c r="R949" s="167"/>
      <c r="S949" s="167"/>
    </row>
    <row r="950">
      <c r="O950" s="207"/>
      <c r="P950" s="206"/>
      <c r="Q950" s="167"/>
      <c r="R950" s="167"/>
      <c r="S950" s="167"/>
    </row>
    <row r="951">
      <c r="O951" s="207"/>
      <c r="P951" s="206"/>
      <c r="Q951" s="167"/>
      <c r="R951" s="167"/>
      <c r="S951" s="167"/>
    </row>
    <row r="952">
      <c r="O952" s="207"/>
      <c r="P952" s="206"/>
      <c r="Q952" s="167"/>
      <c r="R952" s="167"/>
      <c r="S952" s="167"/>
    </row>
    <row r="953">
      <c r="O953" s="207"/>
      <c r="P953" s="206"/>
      <c r="Q953" s="167"/>
      <c r="R953" s="167"/>
      <c r="S953" s="167"/>
    </row>
    <row r="954">
      <c r="O954" s="207"/>
      <c r="P954" s="206"/>
      <c r="Q954" s="167"/>
      <c r="R954" s="167"/>
      <c r="S954" s="167"/>
    </row>
    <row r="955">
      <c r="O955" s="207"/>
      <c r="P955" s="206"/>
      <c r="Q955" s="167"/>
      <c r="R955" s="167"/>
      <c r="S955" s="167"/>
    </row>
    <row r="956">
      <c r="O956" s="207"/>
      <c r="P956" s="206"/>
      <c r="Q956" s="167"/>
      <c r="R956" s="167"/>
      <c r="S956" s="167"/>
    </row>
    <row r="957">
      <c r="O957" s="207"/>
      <c r="P957" s="206"/>
      <c r="Q957" s="167"/>
      <c r="R957" s="167"/>
      <c r="S957" s="167"/>
    </row>
    <row r="958">
      <c r="O958" s="207"/>
      <c r="P958" s="206"/>
      <c r="Q958" s="167"/>
      <c r="R958" s="167"/>
      <c r="S958" s="167"/>
    </row>
    <row r="959">
      <c r="O959" s="207"/>
      <c r="P959" s="206"/>
      <c r="Q959" s="167"/>
      <c r="R959" s="167"/>
      <c r="S959" s="167"/>
    </row>
    <row r="960">
      <c r="O960" s="207"/>
      <c r="P960" s="206"/>
      <c r="Q960" s="167"/>
      <c r="R960" s="167"/>
      <c r="S960" s="167"/>
    </row>
    <row r="961">
      <c r="O961" s="207"/>
      <c r="P961" s="206"/>
      <c r="Q961" s="167"/>
      <c r="R961" s="167"/>
      <c r="S961" s="167"/>
    </row>
    <row r="962">
      <c r="O962" s="207"/>
      <c r="P962" s="206"/>
      <c r="Q962" s="167"/>
      <c r="R962" s="167"/>
      <c r="S962" s="167"/>
    </row>
    <row r="963">
      <c r="O963" s="207"/>
      <c r="P963" s="206"/>
      <c r="Q963" s="167"/>
      <c r="R963" s="167"/>
      <c r="S963" s="167"/>
    </row>
    <row r="964">
      <c r="O964" s="207"/>
      <c r="P964" s="206"/>
      <c r="Q964" s="167"/>
      <c r="R964" s="167"/>
      <c r="S964" s="167"/>
    </row>
    <row r="965">
      <c r="O965" s="207"/>
      <c r="P965" s="206"/>
      <c r="Q965" s="167"/>
      <c r="R965" s="167"/>
      <c r="S965" s="167"/>
    </row>
    <row r="966">
      <c r="O966" s="207"/>
      <c r="P966" s="206"/>
      <c r="Q966" s="167"/>
      <c r="R966" s="167"/>
      <c r="S966" s="167"/>
    </row>
    <row r="967">
      <c r="O967" s="207"/>
      <c r="P967" s="206"/>
      <c r="Q967" s="167"/>
      <c r="R967" s="167"/>
      <c r="S967" s="167"/>
    </row>
    <row r="968">
      <c r="O968" s="207"/>
      <c r="P968" s="206"/>
      <c r="Q968" s="167"/>
      <c r="R968" s="167"/>
      <c r="S968" s="167"/>
    </row>
    <row r="969">
      <c r="O969" s="207"/>
      <c r="P969" s="206"/>
      <c r="Q969" s="167"/>
      <c r="R969" s="167"/>
      <c r="S969" s="167"/>
    </row>
    <row r="970">
      <c r="O970" s="207"/>
      <c r="P970" s="206"/>
      <c r="Q970" s="167"/>
      <c r="R970" s="167"/>
      <c r="S970" s="167"/>
    </row>
    <row r="971">
      <c r="O971" s="207"/>
      <c r="P971" s="206"/>
      <c r="Q971" s="167"/>
      <c r="R971" s="167"/>
      <c r="S971" s="167"/>
    </row>
    <row r="972">
      <c r="O972" s="207"/>
      <c r="P972" s="206"/>
      <c r="Q972" s="167"/>
      <c r="R972" s="167"/>
      <c r="S972" s="167"/>
    </row>
    <row r="973">
      <c r="O973" s="207"/>
      <c r="P973" s="206"/>
      <c r="Q973" s="167"/>
      <c r="R973" s="167"/>
      <c r="S973" s="167"/>
    </row>
    <row r="974">
      <c r="O974" s="207"/>
      <c r="P974" s="206"/>
      <c r="Q974" s="167"/>
      <c r="R974" s="167"/>
      <c r="S974" s="167"/>
    </row>
    <row r="975">
      <c r="O975" s="207"/>
      <c r="P975" s="206"/>
      <c r="Q975" s="167"/>
      <c r="R975" s="167"/>
      <c r="S975" s="167"/>
    </row>
    <row r="976">
      <c r="O976" s="207"/>
      <c r="P976" s="206"/>
      <c r="Q976" s="167"/>
      <c r="R976" s="167"/>
      <c r="S976" s="167"/>
    </row>
    <row r="977">
      <c r="O977" s="207"/>
      <c r="P977" s="206"/>
      <c r="Q977" s="167"/>
      <c r="R977" s="167"/>
      <c r="S977" s="167"/>
    </row>
    <row r="978">
      <c r="O978" s="207"/>
      <c r="P978" s="206"/>
      <c r="Q978" s="167"/>
      <c r="R978" s="167"/>
      <c r="S978" s="167"/>
    </row>
    <row r="979">
      <c r="O979" s="207"/>
      <c r="P979" s="206"/>
      <c r="Q979" s="167"/>
      <c r="R979" s="167"/>
      <c r="S979" s="167"/>
    </row>
    <row r="980">
      <c r="O980" s="207"/>
      <c r="P980" s="206"/>
      <c r="Q980" s="167"/>
      <c r="R980" s="167"/>
      <c r="S980" s="167"/>
    </row>
    <row r="981">
      <c r="O981" s="207"/>
      <c r="P981" s="206"/>
      <c r="Q981" s="167"/>
      <c r="R981" s="167"/>
      <c r="S981" s="167"/>
    </row>
  </sheetData>
  <autoFilter ref="$N$1:$N$43"/>
  <mergeCells count="2">
    <mergeCell ref="B1:D1"/>
    <mergeCell ref="F1:H1"/>
  </mergeCells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</hyperlinks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8.38"/>
    <col customWidth="1" min="10" max="10" width="8.38"/>
    <col customWidth="1" min="11" max="11" width="21.5"/>
    <col customWidth="1" min="12" max="12" width="29.38"/>
    <col customWidth="1" min="13" max="13" width="18.38"/>
    <col customWidth="1" min="14" max="14" width="14.13"/>
    <col customWidth="1" min="15" max="15" width="22.13"/>
    <col customWidth="1" min="16" max="16" width="8.88"/>
    <col customWidth="1" min="17" max="17" width="10.13"/>
    <col customWidth="1" min="18" max="18" width="8.25"/>
    <col customWidth="1" min="19" max="19" width="9.25"/>
    <col customWidth="1" min="20" max="20" width="9.38"/>
    <col customWidth="1" min="21" max="21" width="14.63"/>
    <col customWidth="1" min="22" max="23" width="15.0"/>
  </cols>
  <sheetData>
    <row r="1">
      <c r="A1" s="10" t="s">
        <v>12</v>
      </c>
      <c r="B1" s="12" t="s">
        <v>19</v>
      </c>
      <c r="C1" s="15" t="s">
        <v>20</v>
      </c>
      <c r="D1" s="15" t="s">
        <v>22</v>
      </c>
      <c r="E1" s="15" t="s">
        <v>23</v>
      </c>
      <c r="F1" s="18" t="s">
        <v>24</v>
      </c>
      <c r="G1" s="20" t="s">
        <v>27</v>
      </c>
      <c r="H1" s="18" t="s">
        <v>29</v>
      </c>
      <c r="I1" s="18" t="s">
        <v>30</v>
      </c>
      <c r="K1" s="23" t="s">
        <v>31</v>
      </c>
      <c r="L1" s="27" t="s">
        <v>34</v>
      </c>
      <c r="M1" s="27" t="s">
        <v>41</v>
      </c>
      <c r="N1" s="30" t="s">
        <v>44</v>
      </c>
      <c r="O1" s="30" t="s">
        <v>48</v>
      </c>
      <c r="P1" s="27" t="s">
        <v>49</v>
      </c>
      <c r="Q1" s="27" t="s">
        <v>50</v>
      </c>
      <c r="R1" s="30" t="s">
        <v>52</v>
      </c>
      <c r="S1" s="30" t="s">
        <v>53</v>
      </c>
      <c r="T1" s="30" t="s">
        <v>55</v>
      </c>
      <c r="U1" s="30" t="s">
        <v>57</v>
      </c>
      <c r="V1" s="30" t="s">
        <v>58</v>
      </c>
      <c r="W1" s="30" t="s">
        <v>60</v>
      </c>
      <c r="X1" s="38" t="s">
        <v>61</v>
      </c>
      <c r="Y1" s="12" t="s">
        <v>65</v>
      </c>
      <c r="Z1" s="12" t="s">
        <v>66</v>
      </c>
      <c r="AA1" s="12" t="s">
        <v>67</v>
      </c>
      <c r="AB1" s="12" t="s">
        <v>70</v>
      </c>
      <c r="AC1" s="12" t="s">
        <v>74</v>
      </c>
      <c r="AD1" s="12" t="s">
        <v>76</v>
      </c>
    </row>
    <row r="2">
      <c r="A2" s="23" t="s">
        <v>31</v>
      </c>
      <c r="B2" s="44" t="s">
        <v>77</v>
      </c>
      <c r="C2" s="49">
        <f>COUNTA('บรรจุ'!A2:A279)</f>
        <v>273</v>
      </c>
      <c r="D2" s="49">
        <f>C2-E2</f>
        <v>245</v>
      </c>
      <c r="E2" s="49">
        <f>countif('บรรจุ'!B1:B279,"*"&amp;"หญิง"&amp;"*")</f>
        <v>28</v>
      </c>
      <c r="F2" s="54">
        <f t="shared" ref="F2:F3" si="2">C2-G2</f>
        <v>256</v>
      </c>
      <c r="G2" s="54">
        <f>COUNTIF('บรรจุ'!O1:O279,G1)</f>
        <v>17</v>
      </c>
      <c r="H2" s="54">
        <f>E2-I2</f>
        <v>15</v>
      </c>
      <c r="I2" s="54">
        <f>COUNTIFS('บรรจุ'!O1:O279,G1,'บรรจุ'!B1:B279,"*"&amp;"หญิง"&amp;"*")</f>
        <v>13</v>
      </c>
      <c r="K2" s="65">
        <f>COUNTIF(sec,K1)</f>
        <v>30</v>
      </c>
      <c r="L2" s="65">
        <f>COUNTIF(sec,L1)</f>
        <v>35</v>
      </c>
      <c r="M2" s="65">
        <f>COUNTIF(sec,M1)</f>
        <v>35</v>
      </c>
      <c r="N2" s="65">
        <f>COUNTIF(sec,N1)</f>
        <v>35</v>
      </c>
      <c r="O2" s="65">
        <f>COUNTIF(sec,O1)</f>
        <v>4</v>
      </c>
      <c r="P2" s="65">
        <f>COUNTIF(sec,P1)</f>
        <v>11</v>
      </c>
      <c r="Q2" s="65">
        <f>COUNTIF(sec,Q1)</f>
        <v>14</v>
      </c>
      <c r="R2" s="65">
        <f>COUNTIF(sec,R1)</f>
        <v>12</v>
      </c>
      <c r="S2" s="65">
        <f>COUNTIF(sec,S1)</f>
        <v>8</v>
      </c>
      <c r="T2" s="65">
        <f>COUNTIF(sec,T1)</f>
        <v>6</v>
      </c>
      <c r="U2" s="65">
        <f>COUNTIF(sec,U1)</f>
        <v>9</v>
      </c>
      <c r="V2" s="65">
        <f>COUNTIF(sec,V1)</f>
        <v>20</v>
      </c>
      <c r="W2" s="65">
        <f>COUNTIF(sec,W1)</f>
        <v>0</v>
      </c>
      <c r="X2" s="65">
        <f>COUNTIF(sec,X1)</f>
        <v>0</v>
      </c>
      <c r="Y2" s="65">
        <f>COUNT('นายทหาร'!A2:A28)</f>
        <v>27</v>
      </c>
      <c r="Z2" s="12">
        <f>Y2-AA2</f>
        <v>22</v>
      </c>
      <c r="AA2" s="12">
        <f>COUNTIF('นายทหาร'!D2:D28,"*หญิง*")</f>
        <v>5</v>
      </c>
      <c r="AB2" s="12">
        <f t="shared" ref="AB2:AC2" si="1">D2-Z2</f>
        <v>223</v>
      </c>
      <c r="AC2" s="12">
        <f t="shared" si="1"/>
        <v>23</v>
      </c>
      <c r="AD2" s="12">
        <f>AB2+AC2</f>
        <v>246</v>
      </c>
    </row>
    <row r="3">
      <c r="A3" s="27" t="s">
        <v>34</v>
      </c>
      <c r="B3" s="80" t="s">
        <v>191</v>
      </c>
      <c r="C3" s="81">
        <f>COUNTA('บรรจุ'!A2:A279)</f>
        <v>273</v>
      </c>
      <c r="E3" s="54">
        <f>countif('บรรจุ'!B1:B279,"*"&amp;"หญิง"&amp;"*")</f>
        <v>28</v>
      </c>
      <c r="F3" s="54">
        <f t="shared" si="2"/>
        <v>256</v>
      </c>
      <c r="G3" s="54">
        <f>COUNTIF('บรรจุ'!O1:O279,G1)</f>
        <v>17</v>
      </c>
    </row>
    <row r="4">
      <c r="A4" s="27" t="s">
        <v>41</v>
      </c>
      <c r="B4" s="44" t="s">
        <v>203</v>
      </c>
      <c r="C4" s="65">
        <f>COUNTA('สำรอง'!A2:A43)</f>
        <v>42</v>
      </c>
    </row>
    <row r="5">
      <c r="A5" s="30" t="s">
        <v>44</v>
      </c>
      <c r="B5" s="27"/>
      <c r="C5" s="27"/>
    </row>
    <row r="6">
      <c r="A6" s="30" t="s">
        <v>48</v>
      </c>
      <c r="B6" s="84"/>
      <c r="C6" s="84"/>
    </row>
    <row r="7">
      <c r="A7" s="27" t="s">
        <v>49</v>
      </c>
      <c r="B7" s="84"/>
      <c r="C7" s="84"/>
    </row>
    <row r="8">
      <c r="A8" s="27" t="s">
        <v>50</v>
      </c>
      <c r="B8" s="84"/>
      <c r="C8" s="84"/>
    </row>
    <row r="9">
      <c r="A9" s="30" t="s">
        <v>52</v>
      </c>
      <c r="C9" s="84"/>
    </row>
    <row r="10">
      <c r="A10" s="30" t="s">
        <v>53</v>
      </c>
      <c r="B10" s="84"/>
    </row>
    <row r="11">
      <c r="A11" s="30" t="s">
        <v>55</v>
      </c>
      <c r="B11" s="84"/>
      <c r="C11" s="84"/>
    </row>
    <row r="12">
      <c r="A12" s="30" t="s">
        <v>57</v>
      </c>
      <c r="B12" s="84"/>
      <c r="C12" s="84"/>
    </row>
    <row r="13">
      <c r="A13" s="30" t="s">
        <v>58</v>
      </c>
      <c r="B13" s="84"/>
      <c r="C13" s="84"/>
    </row>
    <row r="14">
      <c r="A14" s="30" t="s">
        <v>60</v>
      </c>
      <c r="B14" s="90"/>
      <c r="C14" s="90"/>
    </row>
    <row r="15">
      <c r="A15" s="38" t="s">
        <v>61</v>
      </c>
      <c r="B15" s="92"/>
      <c r="C15" s="9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2" t="s">
        <v>0</v>
      </c>
      <c r="B1" s="3" t="s">
        <v>1</v>
      </c>
      <c r="C1" s="4" t="s">
        <v>3</v>
      </c>
      <c r="D1" s="5" t="s">
        <v>4</v>
      </c>
      <c r="E1" s="6" t="s">
        <v>5</v>
      </c>
      <c r="F1" s="3" t="s">
        <v>6</v>
      </c>
      <c r="G1" s="4" t="s">
        <v>8</v>
      </c>
      <c r="H1" s="5" t="s">
        <v>9</v>
      </c>
      <c r="I1" s="2" t="s">
        <v>10</v>
      </c>
      <c r="J1" s="2" t="s">
        <v>11</v>
      </c>
      <c r="K1" s="9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13" t="s">
        <v>18</v>
      </c>
      <c r="Q1" s="16" t="s">
        <v>21</v>
      </c>
      <c r="R1" s="17" t="s">
        <v>12</v>
      </c>
      <c r="S1" s="17" t="s">
        <v>25</v>
      </c>
      <c r="T1" s="19" t="s">
        <v>26</v>
      </c>
      <c r="U1" s="21" t="s">
        <v>28</v>
      </c>
      <c r="V1" s="25" t="s">
        <v>19</v>
      </c>
      <c r="W1" s="25" t="s">
        <v>36</v>
      </c>
      <c r="X1" s="25" t="s">
        <v>38</v>
      </c>
      <c r="Y1" s="25" t="s">
        <v>39</v>
      </c>
      <c r="Z1" s="25" t="s">
        <v>40</v>
      </c>
      <c r="AA1" s="25" t="s">
        <v>42</v>
      </c>
      <c r="AB1" s="25" t="s">
        <v>43</v>
      </c>
      <c r="AC1" s="25" t="s">
        <v>45</v>
      </c>
      <c r="AD1" s="25" t="s">
        <v>818</v>
      </c>
      <c r="AE1" s="31" t="s">
        <v>47</v>
      </c>
    </row>
    <row r="2">
      <c r="A2" s="103">
        <v>201.0</v>
      </c>
      <c r="B2" s="85" t="s">
        <v>106</v>
      </c>
      <c r="C2" s="83" t="s">
        <v>826</v>
      </c>
      <c r="D2" s="86" t="s">
        <v>828</v>
      </c>
      <c r="E2" s="37" t="str">
        <f>B2&amp;" "&amp;C2&amp;" "&amp;D2</f>
        <v>จ.ส.อ. มนตรี รสจันทร์</v>
      </c>
      <c r="F2" s="82" t="s">
        <v>111</v>
      </c>
      <c r="G2" s="83" t="s">
        <v>845</v>
      </c>
      <c r="H2" s="86" t="s">
        <v>846</v>
      </c>
      <c r="I2" s="20">
        <v>1.513900689E9</v>
      </c>
      <c r="J2" s="20">
        <v>1.760500112616E12</v>
      </c>
      <c r="K2" s="87" t="s">
        <v>542</v>
      </c>
      <c r="L2" s="142" t="s">
        <v>852</v>
      </c>
      <c r="M2" s="120" t="s">
        <v>855</v>
      </c>
      <c r="N2" s="18" t="s">
        <v>72</v>
      </c>
      <c r="O2" s="144" t="s">
        <v>666</v>
      </c>
      <c r="P2" s="42">
        <v>9.88155172E8</v>
      </c>
      <c r="Q2" s="43"/>
      <c r="R2" s="45" t="s">
        <v>58</v>
      </c>
      <c r="S2" s="46"/>
      <c r="T2" s="66" t="s">
        <v>869</v>
      </c>
      <c r="U2" s="53">
        <v>32692.0</v>
      </c>
      <c r="V2" s="31" t="s">
        <v>77</v>
      </c>
      <c r="W2" s="55">
        <f>DATEDIF(U2,TODAY(),"Y")</f>
        <v>37</v>
      </c>
      <c r="X2" s="55" t="s">
        <v>98</v>
      </c>
      <c r="Y2" s="55" t="s">
        <v>428</v>
      </c>
      <c r="Z2" s="55" t="s">
        <v>906</v>
      </c>
      <c r="AA2" s="55"/>
      <c r="AB2" s="55"/>
      <c r="AC2" s="55"/>
      <c r="AD2" s="55"/>
      <c r="AE2" s="55" t="s">
        <v>907</v>
      </c>
    </row>
  </sheetData>
  <hyperlinks>
    <hyperlink r:id="rId1" ref="T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65" t="s">
        <v>1219</v>
      </c>
      <c r="B1" s="65" t="s">
        <v>1221</v>
      </c>
    </row>
    <row r="2">
      <c r="B2" s="194">
        <v>45884.601521805555</v>
      </c>
    </row>
  </sheetData>
  <drawing r:id="rId1"/>
</worksheet>
</file>